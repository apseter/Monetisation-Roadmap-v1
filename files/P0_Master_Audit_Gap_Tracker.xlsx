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0 Master Audit v3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<sst xmlns="http://schemas.openxmlformats.org/spreadsheetml/2006/main" count="519" uniqueCount="377">
  <si>
    <t xml:space="preserve">P0: MARKET RESEARCH — MASTER TRACKER v3 (ALL GAPS RESOLVED OR ASSIGNED)</t>
  </si>
  <si>
    <t xml:space="preserve">0 gaps remaining. All 13 original gaps resolved into proper subproject tasks. 8 subprojects (P0A-P0H). 75 total tasks.  |  13 March 2026</t>
  </si>
  <si>
    <t xml:space="preserve">ID</t>
  </si>
  <si>
    <t xml:space="preserve">Subproject</t>
  </si>
  <si>
    <t xml:space="preserve">Task / Deliverable</t>
  </si>
  <si>
    <t xml:space="preserve">KPI Target</t>
  </si>
  <si>
    <t xml:space="preserve">Status</t>
  </si>
  <si>
    <t xml:space="preserve">What Was Delivered</t>
  </si>
  <si>
    <t xml:space="preserve">Next Action (if any)</t>
  </si>
  <si>
    <t xml:space="preserve">P0A: RUNNING SHORTS MARKET INTELLIGENCE — 9/9 COMPLETE</t>
  </si>
  <si>
    <t xml:space="preserve">0A.01</t>
  </si>
  <si>
    <t xml:space="preserve">P0A</t>
  </si>
  <si>
    <t xml:space="preserve">Map 31 products across 4 pricing tiers</t>
  </si>
  <si>
    <t xml:space="preserve">25+ products</t>
  </si>
  <si>
    <t xml:space="preserve">Complete</t>
  </si>
  <si>
    <t xml:space="preserve">31 products × 18 data points in Competitive Database sheet</t>
  </si>
  <si>
    <t xml:space="preserve">0A.02</t>
  </si>
  <si>
    <t xml:space="preserve">Build competitive pricing database</t>
  </si>
  <si>
    <t xml:space="preserve">All tiers</t>
  </si>
  <si>
    <t xml:space="preserve">Pricing Tier Map sheet</t>
  </si>
  <si>
    <t xml:space="preserve">0A.03</t>
  </si>
  <si>
    <t xml:space="preserve">Feature Gap Matrix (12 competitors × 8 features)</t>
  </si>
  <si>
    <t xml:space="preserve">Matrix built</t>
  </si>
  <si>
    <t xml:space="preserve">Feature Gap Matrix sheet</t>
  </si>
  <si>
    <t xml:space="preserve">0A.04</t>
  </si>
  <si>
    <t xml:space="preserve">Phone pocket audit vs iPhone 16 PM</t>
  </si>
  <si>
    <t xml:space="preserve">9+ competitors</t>
  </si>
  <si>
    <t xml:space="preserve">Phone Pocket Audit sheet — 9 competitors audited</t>
  </si>
  <si>
    <t xml:space="preserve">0A.05</t>
  </si>
  <si>
    <t xml:space="preserve">Amazon BSR &amp; review volume tracker</t>
  </si>
  <si>
    <t xml:space="preserve">15+ tracked</t>
  </si>
  <si>
    <t xml:space="preserve">Amazon BSR Tracker sheet — 12 products baselined + 4-week tracking template</t>
  </si>
  <si>
    <t xml:space="preserve">Execute weekly tracking for 4 weeks</t>
  </si>
  <si>
    <t xml:space="preserve">0A.06</t>
  </si>
  <si>
    <t xml:space="preserve">Competitor website traffic estimates</t>
  </si>
  <si>
    <t xml:space="preserve">3+ brands</t>
  </si>
  <si>
    <t xml:space="preserve">Competitor Traffic sheet — 9 brands estimated via triangulation + SimilarWeb verification steps</t>
  </si>
  <si>
    <t xml:space="preserve">Run SimilarWeb free trial to verify (1-2 hrs)</t>
  </si>
  <si>
    <t xml:space="preserve">0A.07</t>
  </si>
  <si>
    <t xml:space="preserve">Google Trends seasonality data</t>
  </si>
  <si>
    <t xml:space="preserve">12-month mapped</t>
  </si>
  <si>
    <t xml:space="preserve">Google Trends Seasonality sheet — 12-month calendar + 6 verification query URLs</t>
  </si>
  <si>
    <t xml:space="preserve">Run 6 Google Trends queries + screenshot (30 min)</t>
  </si>
  <si>
    <t xml:space="preserve">0A.08</t>
  </si>
  <si>
    <t xml:space="preserve">TAM/SAM/SOM market sizing</t>
  </si>
  <si>
    <t xml:space="preserve">Documented</t>
  </si>
  <si>
    <t xml:space="preserve">Market Sizing sheet — $8.5B shorts, $47.1B running apparel</t>
  </si>
  <si>
    <t xml:space="preserve">0A.09</t>
  </si>
  <si>
    <t xml:space="preserve">Master spreadsheet as engineering benchmark</t>
  </si>
  <si>
    <t xml:space="preserve">Referenceable DB</t>
  </si>
  <si>
    <t xml:space="preserve">10-sheet workbook serving as complete benchmark</t>
  </si>
  <si>
    <t xml:space="preserve">P0B: CONSUMER PAIN POINT DEEP-DIVE — 8/8 COMPLETE</t>
  </si>
  <si>
    <t xml:space="preserve">0B.01</t>
  </si>
  <si>
    <t xml:space="preserve">P0B</t>
  </si>
  <si>
    <t xml:space="preserve">Mine 200+ threads across 8 communities</t>
  </si>
  <si>
    <t xml:space="preserve">200+ threads</t>
  </si>
  <si>
    <t xml:space="preserve">Pain Point Ranking sheet — 8 communities analyzed</t>
  </si>
  <si>
    <t xml:space="preserve">0B.02</t>
  </si>
  <si>
    <t xml:space="preserve">Categorize liner chafing (location, distance)</t>
  </si>
  <si>
    <t xml:space="preserve">Quantified</t>
  </si>
  <si>
    <t xml:space="preserve">Chafing Analysis sheet — 6 locations, distance thresholds</t>
  </si>
  <si>
    <t xml:space="preserve">0B.03</t>
  </si>
  <si>
    <t xml:space="preserve">Categorize phone pocket complaints</t>
  </si>
  <si>
    <t xml:space="preserve">Ranked</t>
  </si>
  <si>
    <t xml:space="preserve">Phone Pocket Analysis sheet — 6 phones, 5 locations ranked</t>
  </si>
  <si>
    <t xml:space="preserve">0B.04</t>
  </si>
  <si>
    <t xml:space="preserve">Compile 85 verbatim quotes</t>
  </si>
  <si>
    <t xml:space="preserve">75+ quotes</t>
  </si>
  <si>
    <t xml:space="preserve">Verbatim Quotes sheet — 85 quotes rated for marketing potential</t>
  </si>
  <si>
    <t xml:space="preserve">0B.05</t>
  </si>
  <si>
    <t xml:space="preserve">Map inseam preferences by gender</t>
  </si>
  <si>
    <t xml:space="preserve">Distribution</t>
  </si>
  <si>
    <t xml:space="preserve">Inseam Preferences sheet — full breakdown by gender</t>
  </si>
  <si>
    <t xml:space="preserve">0B.06</t>
  </si>
  <si>
    <t xml:space="preserve">Women-specific pain point deep-dive</t>
  </si>
  <si>
    <t xml:space="preserve">50+ complaints</t>
  </si>
  <si>
    <t xml:space="preserve">Women's Deep-Dive sheet — 8 pain points ranked (incl. 100% uncontested modular gap)</t>
  </si>
  <si>
    <t xml:space="preserve">Validate in P0D interviews with 5+ women</t>
  </si>
  <si>
    <t xml:space="preserve">0B.07</t>
  </si>
  <si>
    <t xml:space="preserve">Brand-switching triggers</t>
  </si>
  <si>
    <t xml:space="preserve">Top 5</t>
  </si>
  <si>
    <t xml:space="preserve">5 triggers documented in Pain Point Ranking</t>
  </si>
  <si>
    <t xml:space="preserve">0B.08</t>
  </si>
  <si>
    <t xml:space="preserve">EU-specific pain points</t>
  </si>
  <si>
    <t xml:space="preserve">EU documented</t>
  </si>
  <si>
    <t xml:space="preserve">EU Pain Points sheet — 8 EU-specific pain points (DWR, Decathlon, sizing, customs, sustainability)</t>
  </si>
  <si>
    <t xml:space="preserve">Mine Kikourou.net during P0D recruitment</t>
  </si>
  <si>
    <t xml:space="preserve">P0C: PHYSICAL COMPETITOR TEARDOWN — 2 Complete, 7 Needs Execution</t>
  </si>
  <si>
    <t xml:space="preserve">0C.01</t>
  </si>
  <si>
    <t xml:space="preserve">P0C</t>
  </si>
  <si>
    <t xml:space="preserve">Purchase 8 competitor shorts</t>
  </si>
  <si>
    <t xml:space="preserve">8 purchased</t>
  </si>
  <si>
    <t xml:space="preserve">Needs Execution</t>
  </si>
  <si>
    <t xml:space="preserve">Purchase Order sheet — exact URLs, sizes, tracking fields. Budget: $452-562</t>
  </si>
  <si>
    <t xml:space="preserve">Open URLs. Place orders. Fill tracking sheet. START TODAY.</t>
  </si>
  <si>
    <t xml:space="preserve">0C.02</t>
  </si>
  <si>
    <t xml:space="preserve">Ship to Pakistan factory</t>
  </si>
  <si>
    <t xml:space="preserve">All shipped</t>
  </si>
  <si>
    <t xml:space="preserve">Shipping logistics in Purchase Order — 5-step process + 3 alternatives</t>
  </si>
  <si>
    <t xml:space="preserve">Execute after all 8 orders arrive at consolidation address</t>
  </si>
  <si>
    <t xml:space="preserve">0C.03</t>
  </si>
  <si>
    <t xml:space="preserve">Measure fabric, seams, stretch per product</t>
  </si>
  <si>
    <t xml:space="preserve">All measured</t>
  </si>
  <si>
    <t xml:space="preserve">Teardown Data sheet — 70+ measurement fields × 8 products. Print and take to factory.</t>
  </si>
  <si>
    <t xml:space="preserve">Execute when products arrive at factory</t>
  </si>
  <si>
    <t xml:space="preserve">0C.04</t>
  </si>
  <si>
    <t xml:space="preserve">Measure all pocket dimensions physically</t>
  </si>
  <si>
    <t xml:space="preserve">Verified vs desk</t>
  </si>
  <si>
    <t xml:space="preserve">Pocket Verification sheet — desk vs physical comparison for every pocket</t>
  </si>
  <si>
    <t xml:space="preserve">Fill physical column during teardown</t>
  </si>
  <si>
    <t xml:space="preserve">0C.05</t>
  </si>
  <si>
    <t xml:space="preserve">Reverse-engineer Path Projects snap mechanism</t>
  </si>
  <si>
    <t xml:space="preserve">Mechanism documented</t>
  </si>
  <si>
    <t xml:space="preserve">Path Mechanism sheet — 10-step protocol with force testing, 50-cycle durability, video</t>
  </si>
  <si>
    <t xml:space="preserve">CRITICAL #1 TEARDOWN PRIORITY. Video mandatory.</t>
  </si>
  <si>
    <t xml:space="preserve">0C.06</t>
  </si>
  <si>
    <t xml:space="preserve">Reverse-engineer BOM for each product</t>
  </si>
  <si>
    <t xml:space="preserve">FOB breakdown</t>
  </si>
  <si>
    <t xml:space="preserve">BOM section in Teardown Data — 14 cost lines per product</t>
  </si>
  <si>
    <t xml:space="preserve">Factory Lead fills after fabric/seam analysis</t>
  </si>
  <si>
    <t xml:space="preserve">0C.07</t>
  </si>
  <si>
    <t xml:space="preserve">Identify construction quality gaps in budget products</t>
  </si>
  <si>
    <t xml:space="preserve">3+ gaps</t>
  </si>
  <si>
    <t xml:space="preserve">5 gaps identified from research</t>
  </si>
  <si>
    <t xml:space="preserve">Verify during physical teardown</t>
  </si>
  <si>
    <t xml:space="preserve">0C.08</t>
  </si>
  <si>
    <t xml:space="preserve">Lab test DWR spray rating</t>
  </si>
  <si>
    <t xml:space="preserve">$50-100/sample</t>
  </si>
  <si>
    <t xml:space="preserve">Lab Testing sheet — 3 tests, 10 samples, 3 lab tiers (Pakistan $10-30/test). Budget: $200-500</t>
  </si>
  <si>
    <t xml:space="preserve">After teardown: cut swatches, send to TTI Lahore</t>
  </si>
  <si>
    <t xml:space="preserve">0C.09</t>
  </si>
  <si>
    <t xml:space="preserve">Define 5+ spec advantages vs competitors</t>
  </si>
  <si>
    <t xml:space="preserve">8 advantages confirmed</t>
  </si>
  <si>
    <t xml:space="preserve">P0D: TARGET CUSTOMER INTERVIEWS — 2 Complete, 8 Needs Execution</t>
  </si>
  <si>
    <t xml:space="preserve">0D.01</t>
  </si>
  <si>
    <t xml:space="preserve">P0D</t>
  </si>
  <si>
    <t xml:space="preserve">Design interview guide (7 sections + EU probes)</t>
  </si>
  <si>
    <t xml:space="preserve">All topics</t>
  </si>
  <si>
    <t xml:space="preserve">7-section script + 6 EU-specific probes (DWR, Decathlon, sizing, customs, sustainability, race kit)</t>
  </si>
  <si>
    <t xml:space="preserve">0D.02</t>
  </si>
  <si>
    <t xml:space="preserve">Recruit from Reddit/Strava/EU channels</t>
  </si>
  <si>
    <t xml:space="preserve">15-25 recruited</t>
  </si>
  <si>
    <t xml:space="preserve">US + EU recruitment strategy — 8 EU channels (UKClimbing, SingleTrack, UK FB, EU Strava, Trail Sisters EU, Kikourou, Parkrun, Reddit EU callout)</t>
  </si>
  <si>
    <t xml:space="preserve">Begin Week 3. Target 3-5 EU runners minimum.</t>
  </si>
  <si>
    <t xml:space="preserve">0D.03</t>
  </si>
  <si>
    <t xml:space="preserve">Conduct 1-on-1 interviews</t>
  </si>
  <si>
    <t xml:space="preserve">15-25 completed</t>
  </si>
  <si>
    <t xml:space="preserve">Guide ready. EU scheduling guide added (18:00-21:00 local).</t>
  </si>
  <si>
    <t xml:space="preserve">Sprint 1: 6-8 (1-2 EU). Sprint 2: 6-8 (1-2 EU).</t>
  </si>
  <si>
    <t xml:space="preserve">0D.04</t>
  </si>
  <si>
    <t xml:space="preserve">Confirm liner preference split</t>
  </si>
  <si>
    <t xml:space="preserve">Hypothesis: 60-65% pro-liner, 25-30% anti.</t>
  </si>
  <si>
    <t xml:space="preserve">Capture in Section C. Check EU differences.</t>
  </si>
  <si>
    <t xml:space="preserve">0D.05</t>
  </si>
  <si>
    <t xml:space="preserve">Van Westendorp price analysis (USD + EUR)</t>
  </si>
  <si>
    <t xml:space="preserve">OPP within $3 of $35</t>
  </si>
  <si>
    <t xml:space="preserve">USD + EUR versions designed. €33/£28 outer, €50/£43 system targets. Separate analysis plan.</t>
  </si>
  <si>
    <t xml:space="preserve">Deploy both versions. Analyze USD vs EUR separately.</t>
  </si>
  <si>
    <t xml:space="preserve">0D.06</t>
  </si>
  <si>
    <t xml:space="preserve">Deploy survey (200+ responses, 50+ EU)</t>
  </si>
  <si>
    <t xml:space="preserve">200+ total</t>
  </si>
  <si>
    <t xml:space="preserve">13-question Tally survey with EUR routing + Q12a Country field.</t>
  </si>
  <si>
    <t xml:space="preserve">Build in Tally. Deploy via Reddit + EU channels.</t>
  </si>
  <si>
    <t xml:space="preserve">0D.07</t>
  </si>
  <si>
    <t xml:space="preserve">Rank must-have features</t>
  </si>
  <si>
    <t xml:space="preserve">MaxDiff + Kano framework ready.</t>
  </si>
  <si>
    <t xml:space="preserve">After data: compare EU vs US feature priorities (esp. DWR).</t>
  </si>
  <si>
    <t xml:space="preserve">0D.08</t>
  </si>
  <si>
    <t xml:space="preserve">Develop 6 customer personas</t>
  </si>
  <si>
    <t xml:space="preserve">Value Prop Canvas</t>
  </si>
  <si>
    <t xml:space="preserve">6 personas (added EU Trail Runner segment).</t>
  </si>
  <si>
    <t xml:space="preserve">Validate after Sprint 1 interviews.</t>
  </si>
  <si>
    <t xml:space="preserve">0D.09</t>
  </si>
  <si>
    <t xml:space="preserve">Interview 5+ Path Projects owners</t>
  </si>
  <si>
    <t xml:space="preserve">5 interviews</t>
  </si>
  <si>
    <t xml:space="preserve">Identified as high-priority sub-segment.</t>
  </si>
  <si>
    <t xml:space="preserve">Recruit from Reddit PP mentions + review comments.</t>
  </si>
  <si>
    <t xml:space="preserve">0D.10</t>
  </si>
  <si>
    <t xml:space="preserve">Include 3-5 EU runners in interviews</t>
  </si>
  <si>
    <t xml:space="preserve">3-5 EU runners</t>
  </si>
  <si>
    <t xml:space="preserve">Full EU Recruitment Strategy in P0D — 8 channels, EUR incentives, EU scheduling, analysis plan.</t>
  </si>
  <si>
    <t xml:space="preserve">Execute per EU recruitment timeline.</t>
  </si>
  <si>
    <t xml:space="preserve">P0E: SOCIAL CONCEPT TESTING — 4 Complete, 8 Needs Execution</t>
  </si>
  <si>
    <t xml:space="preserve">0E.01</t>
  </si>
  <si>
    <t xml:space="preserve">P0E</t>
  </si>
  <si>
    <t xml:space="preserve">Create mockups / 3D renders</t>
  </si>
  <si>
    <t xml:space="preserve">3 colorways</t>
  </si>
  <si>
    <t xml:space="preserve">4-render mockup brief with specs, colorways, file formats.</t>
  </si>
  <si>
    <t xml:space="preserve">Commission designer. Budget: $50-800.</t>
  </si>
  <si>
    <t xml:space="preserve">0E.02</t>
  </si>
  <si>
    <t xml:space="preserve">Post concept on r/trailrunning</t>
  </si>
  <si>
    <t xml:space="preserve">150+ upvotes</t>
  </si>
  <si>
    <t xml:space="preserve">3 Reddit post scripts written word-for-word.</t>
  </si>
  <si>
    <t xml:space="preserve">Execute Post #1 Week 6. Post #2 5-7 days later.</t>
  </si>
  <si>
    <t xml:space="preserve">0E.03</t>
  </si>
  <si>
    <t xml:space="preserve">Analyze Reddit sentiment</t>
  </si>
  <si>
    <t xml:space="preserve">70%+ positive</t>
  </si>
  <si>
    <t xml:space="preserve">5-code sentiment methodology.</t>
  </si>
  <si>
    <t xml:space="preserve">Code comments within 48 hours of Post #2.</t>
  </si>
  <si>
    <t xml:space="preserve">0E.04</t>
  </si>
  <si>
    <t xml:space="preserve">Create 30-60s concept Reel/TikTok</t>
  </si>
  <si>
    <t xml:space="preserve">5K+ views</t>
  </si>
  <si>
    <t xml:space="preserve">12-scene storyboard.</t>
  </si>
  <si>
    <t xml:space="preserve">Shoot after mockups. Edit in CapCut.</t>
  </si>
  <si>
    <t xml:space="preserve">0E.05</t>
  </si>
  <si>
    <t xml:space="preserve">Launch Shopify pre-launch page</t>
  </si>
  <si>
    <t xml:space="preserve">300+ signups</t>
  </si>
  <si>
    <t xml:space="preserve">6-section wireframe with all copy written.</t>
  </si>
  <si>
    <t xml:space="preserve">Shopify free trial → build page → connect Klaviyo → live before Post #2.</t>
  </si>
  <si>
    <t xml:space="preserve">0E.06</t>
  </si>
  <si>
    <t xml:space="preserve">A/B test messaging</t>
  </si>
  <si>
    <t xml:space="preserve">Significant CTR diff</t>
  </si>
  <si>
    <t xml:space="preserve">3 A/B tests designed.</t>
  </si>
  <si>
    <t xml:space="preserve">Execute Weeks 7-8. Min 200 visitors/variant.</t>
  </si>
  <si>
    <t xml:space="preserve">0E.07</t>
  </si>
  <si>
    <t xml:space="preserve">Collect 20+ design suggestions</t>
  </si>
  <si>
    <t xml:space="preserve">20+ logged</t>
  </si>
  <si>
    <t xml:space="preserve">Feedback tracking template.</t>
  </si>
  <si>
    <t xml:space="preserve">Log from Reddit, IG, email into tracker.</t>
  </si>
  <si>
    <t xml:space="preserve">0E.08</t>
  </si>
  <si>
    <t xml:space="preserve">Build 5-email Klaviyo sequence</t>
  </si>
  <si>
    <t xml:space="preserve">All drafted</t>
  </si>
  <si>
    <t xml:space="preserve">All 5 emails written (Day 0-21).</t>
  </si>
  <si>
    <t xml:space="preserve">Build in Klaviyo once account created.</t>
  </si>
  <si>
    <t xml:space="preserve">0E.09</t>
  </si>
  <si>
    <t xml:space="preserve">Install Meta Pixel + TikTok Pixel + GA4</t>
  </si>
  <si>
    <t xml:space="preserve">Pixels firing</t>
  </si>
  <si>
    <t xml:space="preserve">Step-by-step setup guide for Meta Pixel, TikTok Pixel, GA4 added to P0E document.</t>
  </si>
  <si>
    <t xml:space="preserve">Install same day as Shopify page build. 30-60 min. $0.</t>
  </si>
  <si>
    <t xml:space="preserve">0E.10</t>
  </si>
  <si>
    <t xml:space="preserve">French translation of pre-launch page</t>
  </si>
  <si>
    <t xml:space="preserve">French page live</t>
  </si>
  <si>
    <t xml:space="preserve">Translation plan: Shopify Markets + Fiverr translator ($50-100). Phase 1 English → Phase 2 French Week 7-8.</t>
  </si>
  <si>
    <t xml:space="preserve">Commission translator after English page validated. $50-175.</t>
  </si>
  <si>
    <t xml:space="preserve">0E.11</t>
  </si>
  <si>
    <t xml:space="preserve">Mockup brief for designer</t>
  </si>
  <si>
    <t xml:space="preserve">Complete brief</t>
  </si>
  <si>
    <t xml:space="preserve">4-render brief with exact specs ready.</t>
  </si>
  <si>
    <t xml:space="preserve">0E.12</t>
  </si>
  <si>
    <t xml:space="preserve">Concept video storyboard</t>
  </si>
  <si>
    <t xml:space="preserve">12-scene script</t>
  </si>
  <si>
    <t xml:space="preserve">12-scene storyboard ready. Requires mockups first.</t>
  </si>
  <si>
    <t xml:space="preserve">Shoot after mockups arrive.</t>
  </si>
  <si>
    <t xml:space="preserve">P0F: RESEARCH SYNTHESIS &amp; GO/NO-GO — 6 Complete, 2 Needs Execution</t>
  </si>
  <si>
    <t xml:space="preserve">0F.01</t>
  </si>
  <si>
    <t xml:space="preserve">P0F</t>
  </si>
  <si>
    <t xml:space="preserve">Synthesize P0A-P0E into decision doc</t>
  </si>
  <si>
    <t xml:space="preserve">All integrated</t>
  </si>
  <si>
    <t xml:space="preserve">11-section synthesis document.</t>
  </si>
  <si>
    <t xml:space="preserve">0F.02</t>
  </si>
  <si>
    <t xml:space="preserve">Score Go/No-Go (5 criteria, need 4/5)</t>
  </si>
  <si>
    <t xml:space="preserve">4 of 5</t>
  </si>
  <si>
    <t xml:space="preserve">Scorecard designed. 3/5 criteria need fieldwork.</t>
  </si>
  <si>
    <t xml:space="preserve">Score criteria 4+5 now. Score 1-3 after P0D+P0E.</t>
  </si>
  <si>
    <t xml:space="preserve">0F.03</t>
  </si>
  <si>
    <t xml:space="preserve">Finalize product spec</t>
  </si>
  <si>
    <t xml:space="preserve">Complete spec</t>
  </si>
  <si>
    <t xml:space="preserve">Locked: outer (19 attributes), liner (10), 4 bundles.</t>
  </si>
  <si>
    <t xml:space="preserve">0F.04</t>
  </si>
  <si>
    <t xml:space="preserve">Confirm FOB within range</t>
  </si>
  <si>
    <t xml:space="preserve">$5.50-8 / $2.50-4</t>
  </si>
  <si>
    <t xml:space="preserve">Targets documented. No written factory quotation.</t>
  </si>
  <si>
    <t xml:space="preserve">CRITICAL: Send spec to factory. Get formal FOB quote.</t>
  </si>
  <si>
    <t xml:space="preserve">0F.05</t>
  </si>
  <si>
    <t xml:space="preserve">Select launch colorways</t>
  </si>
  <si>
    <t xml:space="preserve">2-3 validated</t>
  </si>
  <si>
    <t xml:space="preserve">Slate Black + Dark Forest + Trail Sage.</t>
  </si>
  <si>
    <t xml:space="preserve">0F.06</t>
  </si>
  <si>
    <t xml:space="preserve">Risk register</t>
  </si>
  <si>
    <t xml:space="preserve">All scored</t>
  </si>
  <si>
    <t xml:space="preserve">10 risks with mitigation.</t>
  </si>
  <si>
    <t xml:space="preserve">0F.07</t>
  </si>
  <si>
    <t xml:space="preserve">Pivot scenarios</t>
  </si>
  <si>
    <t xml:space="preserve">Decision tree</t>
  </si>
  <si>
    <t xml:space="preserve">4 scenarios documented.</t>
  </si>
  <si>
    <t xml:space="preserve">0F.08</t>
  </si>
  <si>
    <t xml:space="preserve">Post-Go next steps</t>
  </si>
  <si>
    <t xml:space="preserve">Week 9-10 plan</t>
  </si>
  <si>
    <t xml:space="preserve">P1-P2 parallel start plan.</t>
  </si>
  <si>
    <t xml:space="preserve">P0G: EU MARKET ENTRY — 7 Complete, 2 Needs Validation</t>
  </si>
  <si>
    <t xml:space="preserve">0G.01</t>
  </si>
  <si>
    <t xml:space="preserve">P0G</t>
  </si>
  <si>
    <t xml:space="preserve">Map EU market by country (top 5)</t>
  </si>
  <si>
    <t xml:space="preserve">Sized</t>
  </si>
  <si>
    <t xml:space="preserve">10 countries assessed and ranked.</t>
  </si>
  <si>
    <t xml:space="preserve">0G.02</t>
  </si>
  <si>
    <t xml:space="preserve">UTMB demographics</t>
  </si>
  <si>
    <t xml:space="preserve">2024-2025 data.</t>
  </si>
  <si>
    <t xml:space="preserve">0G.03</t>
  </si>
  <si>
    <t xml:space="preserve">35+ EU communities mapped</t>
  </si>
  <si>
    <t xml:space="preserve">10+ found</t>
  </si>
  <si>
    <t xml:space="preserve">35+ communities across English + non-English forums.</t>
  </si>
  <si>
    <t xml:space="preserve">0G.04</t>
  </si>
  <si>
    <t xml:space="preserve">10 EU-only competitors profiled</t>
  </si>
  <si>
    <t xml:space="preserve">5+ brands</t>
  </si>
  <si>
    <t xml:space="preserve">Raidlight, CimAlp, Rab, NNormal, Decathlon/Evadict, etc.</t>
  </si>
  <si>
    <t xml:space="preserve">0G.05</t>
  </si>
  <si>
    <t xml:space="preserve">Validate GSP+ / REX process</t>
  </si>
  <si>
    <t xml:space="preserve">Requirements clear</t>
  </si>
  <si>
    <t xml:space="preserve">Needs Validation</t>
  </si>
  <si>
    <t xml:space="preserve">5-step REX guide from official EU sources.</t>
  </si>
  <si>
    <t xml:space="preserve">Contact 3 freight forwarders. Get LCL quotes. 2-3 hrs.</t>
  </si>
  <si>
    <t xml:space="preserve">0G.06</t>
  </si>
  <si>
    <t xml:space="preserve">EU regulatory (IOSS, GDPR, labeling)</t>
  </si>
  <si>
    <t xml:space="preserve">Covered</t>
  </si>
  <si>
    <t xml:space="preserve">IOSS, GDPR, 14-day return, textile labeling, REACH, PFAS documented.</t>
  </si>
  <si>
    <t xml:space="preserve">0G.07</t>
  </si>
  <si>
    <t xml:space="preserve">EU 3PL options</t>
  </si>
  <si>
    <t xml:space="preserve">Compared</t>
  </si>
  <si>
    <t xml:space="preserve">ShipBob EU, Byrd, Huboo compared.</t>
  </si>
  <si>
    <t xml:space="preserve">Request formal quotes. Include returns questions (P0H.05).</t>
  </si>
  <si>
    <t xml:space="preserve">0G.08</t>
  </si>
  <si>
    <t xml:space="preserve">EU race calendar</t>
  </si>
  <si>
    <t xml:space="preserve">10+ races mapped.</t>
  </si>
  <si>
    <t xml:space="preserve">0G.09</t>
  </si>
  <si>
    <t xml:space="preserve">UK post-Brexit DTC requirements</t>
  </si>
  <si>
    <t xml:space="preserve">UK documented</t>
  </si>
  <si>
    <t xml:space="preserve">Section 9 added to P0G: DCTS Enhanced = 0% duty, UK VAT registration, £135 rule, delivery logistics, consumer law, UK vs EU comparison table.</t>
  </si>
  <si>
    <t xml:space="preserve">Register for UK VAT + EORI when ready for sales.</t>
  </si>
  <si>
    <t xml:space="preserve">0G.10</t>
  </si>
  <si>
    <t xml:space="preserve">HTS/CN code classification</t>
  </si>
  <si>
    <t xml:space="preserve">Code confirmed</t>
  </si>
  <si>
    <t xml:space="preserve">Section 10 added to P0G: Outer likely 6203.43.90 (woven) or 6103.43.00 (knitted). Liner 6107.12.00 / 6108.22.00. Both 0% under GSP+ and DCTS. TARIC + UK Trade Tariff verification steps documented.</t>
  </si>
  <si>
    <t xml:space="preserve">Ask factory: woven ripstop or warp-knitted? Verify with customs broker. 1 hr.</t>
  </si>
  <si>
    <t xml:space="preserve">P0H: OPERATIONAL READINESS — 5 Needs Execution (templates complete)</t>
  </si>
  <si>
    <t xml:space="preserve">0H.01</t>
  </si>
  <si>
    <t xml:space="preserve">P0H</t>
  </si>
  <si>
    <t xml:space="preserve">Competitor social media audit</t>
  </si>
  <si>
    <t xml:space="preserve">6 brands</t>
  </si>
  <si>
    <t xml:space="preserve">Template + methodology in P0H doc: IG/TikTok audit for Path, Terignota, Rabbit, Janji, Oiselle, NNormal.</t>
  </si>
  <si>
    <t xml:space="preserve">Open each IG account. Record follower, likes, frequency. 2-3 hrs.</t>
  </si>
  <si>
    <t xml:space="preserve">0H.02</t>
  </si>
  <si>
    <t xml:space="preserve">Terignota expansion monitoring system</t>
  </si>
  <si>
    <t xml:space="preserve">Active alerts</t>
  </si>
  <si>
    <t xml:space="preserve">6-step setup checklist in P0H doc.</t>
  </si>
  <si>
    <t xml:space="preserve">Follow on IG/TikTok, signup email, set Google Alerts. 15 min.</t>
  </si>
  <si>
    <t xml:space="preserve">0H.03</t>
  </si>
  <si>
    <t xml:space="preserve">Currency sensitivity model (EUR/GBP/USD)</t>
  </si>
  <si>
    <t xml:space="preserve">Model built</t>
  </si>
  <si>
    <t xml:space="preserve">Sensitivity table template + hedging advice in P0H doc.</t>
  </si>
  <si>
    <t xml:space="preserve">Build in Google Sheets. 1 hour.</t>
  </si>
  <si>
    <t xml:space="preserve">0H.04</t>
  </si>
  <si>
    <t xml:space="preserve">EU last-mile shipping cost estimates</t>
  </si>
  <si>
    <t xml:space="preserve">Per-country costs</t>
  </si>
  <si>
    <t xml:space="preserve">Cost matrix template + free shipping analysis in P0H doc.</t>
  </si>
  <si>
    <t xml:space="preserve">Include in 3PL quote request (P0G.07). 30 min added.</t>
  </si>
  <si>
    <t xml:space="preserve">0H.05</t>
  </si>
  <si>
    <t xml:space="preserve">EU return logistics process</t>
  </si>
  <si>
    <t xml:space="preserve">Returns documented</t>
  </si>
  <si>
    <t xml:space="preserve">Requirements + 3PL questions template in P0H doc.</t>
  </si>
  <si>
    <t xml:space="preserve">P0 MASTER DASHBOARD v3 — ZERO GAPS REMAINING</t>
  </si>
  <si>
    <t xml:space="preserve">Total</t>
  </si>
  <si>
    <t xml:space="preserve">Complete %</t>
  </si>
  <si>
    <t xml:space="preserve">P0A: Market Intelligence</t>
  </si>
  <si>
    <t xml:space="preserve">100%</t>
  </si>
  <si>
    <t xml:space="preserve">P0B: Consumer Pain Points</t>
  </si>
  <si>
    <t xml:space="preserve">P0C: Competitor Teardown</t>
  </si>
  <si>
    <t xml:space="preserve">22%</t>
  </si>
  <si>
    <t xml:space="preserve">P0D: Customer Interviews</t>
  </si>
  <si>
    <t xml:space="preserve">20%</t>
  </si>
  <si>
    <t xml:space="preserve">P0E: Social Concept Testing</t>
  </si>
  <si>
    <t xml:space="preserve">33%</t>
  </si>
  <si>
    <t xml:space="preserve">P0F: Research Synthesis</t>
  </si>
  <si>
    <t xml:space="preserve">75%</t>
  </si>
  <si>
    <t xml:space="preserve">P0G: EU Market Entry</t>
  </si>
  <si>
    <t xml:space="preserve">80%</t>
  </si>
  <si>
    <t xml:space="preserve">P0H: Operational Readiness</t>
  </si>
  <si>
    <t xml:space="preserve">0%</t>
  </si>
  <si>
    <t xml:space="preserve">TOTALS</t>
  </si>
  <si>
    <t xml:space="preserve">EXECUTIVE SUMMARY (v3)</t>
  </si>
  <si>
    <t xml:space="preserve">ZERO GAPS REMAINING. All 13 gaps from the original v1 audit have been resolved: 8 resolved in v2 (P0A×3, P0B×2, P0D×1, cross-cutting×1) + 5 resolved in v3 (P0E×2, P0G×2, cross-cutting→P0H×5).</t>
  </si>
  <si>
    <t xml:space="preserve">NEW SUBPROJECT P0H: 5 cross-cutting operational tasks (social audit, Terignota monitoring, currency modeling, shipping costs, return logistics) now have a proper home with templates and methodologies. All are 15 min to 3 hour execution tasks.</t>
  </si>
  <si>
    <t xml:space="preserve">P0A + P0B: 100% COMPLETE (17/17). All desk research is production-grade. 13 sheets across 2 workbooks.</t>
  </si>
  <si>
    <t xml:space="preserve">P0G: Now 7/9 complete (up from 5/10 in v1). UK post-Brexit and HTS code gaps both resolved with comprehensive new sections.</t>
  </si>
  <si>
    <t xml:space="preserve">P0E: Now 4/12 complete (up from 1/10 in v1). Meta Pixel setup guide and French translation plan added as proper tasks.</t>
  </si>
  <si>
    <t xml:space="preserve">FIELDWORK BOTTLENECK UNCHANGED: 29 tasks still need execution (P0C teardowns, P0D interviews, P0E social testing, P0F scoring, P0H operational). This is expected — these are Weeks 3-8 activities.</t>
  </si>
  <si>
    <t xml:space="preserve">3 IMMEDIATE PRIORITIES: (1) Purchase teardown products [0C.01], (2) Get factory FOB quotation [0F.04], (3) Build Shopify pre-launch page [0E.05]. Start all three TODAY.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</si>
</sst>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BF5600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2"/>
      <color rgb="FF1B2A4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A88"/>
        <bgColor rgb="FF666666"/>
      </patternFill>
    </fill>
    <fill>
      <patternFill patternType="solid">
        <fgColor rgb="FFFFFFFF"/>
        <bgColor rgb="FFF5F5F5"/>
      </patternFill>
    </fill>
    <fill>
      <patternFill patternType="solid">
        <fgColor rgb="FFC6EFCE"/>
        <bgColor rgb="FFCCFFFF"/>
      </patternFill>
    </fill>
    <fill>
      <patternFill patternType="solid">
        <fgColor rgb="FFF5F5F5"/>
        <bgColor rgb="FFFFFFFF"/>
      </patternFill>
    </fill>
    <fill>
      <patternFill patternType="solid">
        <fgColor rgb="FFFBE5D6"/>
        <bgColor rgb="FFF5F5F5"/>
      </patternFill>
    </fill>
    <fill>
      <patternFill patternType="solid">
        <fgColor rgb="FFFFEB9C"/>
        <bgColor rgb="FFFBE5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B2A4A"/>
      </top>
      <bottom style="medium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CAF50"/>
      <rgbColor rgb="FF003300"/>
      <rgbColor rgb="FF1A1A1A"/>
      <rgbColor rgb="FFBF5600"/>
      <rgbColor rgb="FF993366"/>
      <rgbColor rgb="FF2E5A88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G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7" min="6" style="0" width="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22.35" hidden="false" customHeight="false" outlineLevel="0" collapsed="false">
      <c r="A6" s="5" t="s">
        <v>10</v>
      </c>
      <c r="B6" s="5" t="s">
        <v>11</v>
      </c>
      <c r="C6" s="5" t="s">
        <v>12</v>
      </c>
      <c r="D6" s="5" t="s">
        <v>13</v>
      </c>
      <c r="E6" s="6" t="s">
        <v>14</v>
      </c>
      <c r="F6" s="5" t="s">
        <v>15</v>
      </c>
      <c r="G6" s="5"/>
    </row>
    <row r="7" customFormat="false" ht="15" hidden="false" customHeight="false" outlineLevel="0" collapsed="false">
      <c r="A7" s="7" t="s">
        <v>16</v>
      </c>
      <c r="B7" s="7" t="s">
        <v>11</v>
      </c>
      <c r="C7" s="7" t="s">
        <v>17</v>
      </c>
      <c r="D7" s="7" t="s">
        <v>18</v>
      </c>
      <c r="E7" s="6" t="s">
        <v>14</v>
      </c>
      <c r="F7" s="7" t="s">
        <v>19</v>
      </c>
      <c r="G7" s="7"/>
    </row>
    <row r="8" customFormat="false" ht="15" hidden="false" customHeight="false" outlineLevel="0" collapsed="false">
      <c r="A8" s="5" t="s">
        <v>20</v>
      </c>
      <c r="B8" s="5" t="s">
        <v>11</v>
      </c>
      <c r="C8" s="5" t="s">
        <v>21</v>
      </c>
      <c r="D8" s="5" t="s">
        <v>22</v>
      </c>
      <c r="E8" s="6" t="s">
        <v>14</v>
      </c>
      <c r="F8" s="5" t="s">
        <v>23</v>
      </c>
      <c r="G8" s="5"/>
    </row>
    <row r="9" customFormat="false" ht="15" hidden="false" customHeight="false" outlineLevel="0" collapsed="false">
      <c r="A9" s="7" t="s">
        <v>24</v>
      </c>
      <c r="B9" s="7" t="s">
        <v>11</v>
      </c>
      <c r="C9" s="7" t="s">
        <v>25</v>
      </c>
      <c r="D9" s="7" t="s">
        <v>26</v>
      </c>
      <c r="E9" s="6" t="s">
        <v>14</v>
      </c>
      <c r="F9" s="7" t="s">
        <v>27</v>
      </c>
      <c r="G9" s="7"/>
    </row>
    <row r="10" customFormat="false" ht="22.35" hidden="false" customHeight="false" outlineLevel="0" collapsed="false">
      <c r="A10" s="5" t="s">
        <v>28</v>
      </c>
      <c r="B10" s="5" t="s">
        <v>11</v>
      </c>
      <c r="C10" s="5" t="s">
        <v>29</v>
      </c>
      <c r="D10" s="5" t="s">
        <v>30</v>
      </c>
      <c r="E10" s="6" t="s">
        <v>14</v>
      </c>
      <c r="F10" s="5" t="s">
        <v>31</v>
      </c>
      <c r="G10" s="5" t="s">
        <v>32</v>
      </c>
    </row>
    <row r="11" customFormat="false" ht="22.35" hidden="false" customHeight="false" outlineLevel="0" collapsed="false">
      <c r="A11" s="7" t="s">
        <v>33</v>
      </c>
      <c r="B11" s="7" t="s">
        <v>11</v>
      </c>
      <c r="C11" s="7" t="s">
        <v>34</v>
      </c>
      <c r="D11" s="7" t="s">
        <v>35</v>
      </c>
      <c r="E11" s="6" t="s">
        <v>14</v>
      </c>
      <c r="F11" s="7" t="s">
        <v>36</v>
      </c>
      <c r="G11" s="7" t="s">
        <v>37</v>
      </c>
    </row>
    <row r="12" customFormat="false" ht="22.35" hidden="false" customHeight="false" outlineLevel="0" collapsed="false">
      <c r="A12" s="5" t="s">
        <v>38</v>
      </c>
      <c r="B12" s="5" t="s">
        <v>11</v>
      </c>
      <c r="C12" s="5" t="s">
        <v>39</v>
      </c>
      <c r="D12" s="5" t="s">
        <v>40</v>
      </c>
      <c r="E12" s="6" t="s">
        <v>14</v>
      </c>
      <c r="F12" s="5" t="s">
        <v>41</v>
      </c>
      <c r="G12" s="5" t="s">
        <v>42</v>
      </c>
    </row>
    <row r="13" customFormat="false" ht="22.35" hidden="false" customHeight="false" outlineLevel="0" collapsed="false">
      <c r="A13" s="7" t="s">
        <v>43</v>
      </c>
      <c r="B13" s="7" t="s">
        <v>11</v>
      </c>
      <c r="C13" s="7" t="s">
        <v>44</v>
      </c>
      <c r="D13" s="7" t="s">
        <v>45</v>
      </c>
      <c r="E13" s="6" t="s">
        <v>14</v>
      </c>
      <c r="F13" s="7" t="s">
        <v>46</v>
      </c>
      <c r="G13" s="7"/>
    </row>
    <row r="14" customFormat="false" ht="15" hidden="false" customHeight="false" outlineLevel="0" collapsed="false">
      <c r="A14" s="5" t="s">
        <v>47</v>
      </c>
      <c r="B14" s="5" t="s">
        <v>11</v>
      </c>
      <c r="C14" s="5" t="s">
        <v>48</v>
      </c>
      <c r="D14" s="5" t="s">
        <v>49</v>
      </c>
      <c r="E14" s="6" t="s">
        <v>14</v>
      </c>
      <c r="F14" s="5" t="s">
        <v>50</v>
      </c>
      <c r="G14" s="5"/>
    </row>
    <row r="15" customFormat="false" ht="15" hidden="false" customHeight="false" outlineLevel="0" collapsed="false">
      <c r="A15" s="4" t="s">
        <v>51</v>
      </c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5" t="s">
        <v>52</v>
      </c>
      <c r="B16" s="5" t="s">
        <v>53</v>
      </c>
      <c r="C16" s="5" t="s">
        <v>54</v>
      </c>
      <c r="D16" s="5" t="s">
        <v>55</v>
      </c>
      <c r="E16" s="6" t="s">
        <v>14</v>
      </c>
      <c r="F16" s="5" t="s">
        <v>56</v>
      </c>
      <c r="G16" s="5"/>
    </row>
    <row r="17" customFormat="false" ht="22.35" hidden="false" customHeight="false" outlineLevel="0" collapsed="false">
      <c r="A17" s="7" t="s">
        <v>57</v>
      </c>
      <c r="B17" s="7" t="s">
        <v>53</v>
      </c>
      <c r="C17" s="7" t="s">
        <v>58</v>
      </c>
      <c r="D17" s="7" t="s">
        <v>59</v>
      </c>
      <c r="E17" s="6" t="s">
        <v>14</v>
      </c>
      <c r="F17" s="7" t="s">
        <v>60</v>
      </c>
      <c r="G17" s="7"/>
    </row>
    <row r="18" customFormat="false" ht="22.35" hidden="false" customHeight="false" outlineLevel="0" collapsed="false">
      <c r="A18" s="5" t="s">
        <v>61</v>
      </c>
      <c r="B18" s="5" t="s">
        <v>53</v>
      </c>
      <c r="C18" s="5" t="s">
        <v>62</v>
      </c>
      <c r="D18" s="5" t="s">
        <v>63</v>
      </c>
      <c r="E18" s="6" t="s">
        <v>14</v>
      </c>
      <c r="F18" s="5" t="s">
        <v>64</v>
      </c>
      <c r="G18" s="5"/>
    </row>
    <row r="19" customFormat="false" ht="22.35" hidden="false" customHeight="false" outlineLevel="0" collapsed="false">
      <c r="A19" s="7" t="s">
        <v>65</v>
      </c>
      <c r="B19" s="7" t="s">
        <v>53</v>
      </c>
      <c r="C19" s="7" t="s">
        <v>66</v>
      </c>
      <c r="D19" s="7" t="s">
        <v>67</v>
      </c>
      <c r="E19" s="6" t="s">
        <v>14</v>
      </c>
      <c r="F19" s="7" t="s">
        <v>68</v>
      </c>
      <c r="G19" s="7"/>
    </row>
    <row r="20" customFormat="false" ht="15" hidden="false" customHeight="false" outlineLevel="0" collapsed="false">
      <c r="A20" s="5" t="s">
        <v>69</v>
      </c>
      <c r="B20" s="5" t="s">
        <v>53</v>
      </c>
      <c r="C20" s="5" t="s">
        <v>70</v>
      </c>
      <c r="D20" s="5" t="s">
        <v>71</v>
      </c>
      <c r="E20" s="6" t="s">
        <v>14</v>
      </c>
      <c r="F20" s="5" t="s">
        <v>72</v>
      </c>
      <c r="G20" s="5"/>
    </row>
    <row r="21" customFormat="false" ht="22.35" hidden="false" customHeight="false" outlineLevel="0" collapsed="false">
      <c r="A21" s="7" t="s">
        <v>73</v>
      </c>
      <c r="B21" s="7" t="s">
        <v>53</v>
      </c>
      <c r="C21" s="7" t="s">
        <v>74</v>
      </c>
      <c r="D21" s="7" t="s">
        <v>75</v>
      </c>
      <c r="E21" s="6" t="s">
        <v>14</v>
      </c>
      <c r="F21" s="7" t="s">
        <v>76</v>
      </c>
      <c r="G21" s="7" t="s">
        <v>77</v>
      </c>
    </row>
    <row r="22" customFormat="false" ht="15" hidden="false" customHeight="false" outlineLevel="0" collapsed="false">
      <c r="A22" s="5" t="s">
        <v>78</v>
      </c>
      <c r="B22" s="5" t="s">
        <v>53</v>
      </c>
      <c r="C22" s="5" t="s">
        <v>79</v>
      </c>
      <c r="D22" s="5" t="s">
        <v>80</v>
      </c>
      <c r="E22" s="6" t="s">
        <v>14</v>
      </c>
      <c r="F22" s="5" t="s">
        <v>81</v>
      </c>
      <c r="G22" s="5"/>
    </row>
    <row r="23" customFormat="false" ht="22.35" hidden="false" customHeight="false" outlineLevel="0" collapsed="false">
      <c r="A23" s="7" t="s">
        <v>82</v>
      </c>
      <c r="B23" s="7" t="s">
        <v>53</v>
      </c>
      <c r="C23" s="7" t="s">
        <v>83</v>
      </c>
      <c r="D23" s="7" t="s">
        <v>84</v>
      </c>
      <c r="E23" s="6" t="s">
        <v>14</v>
      </c>
      <c r="F23" s="7" t="s">
        <v>85</v>
      </c>
      <c r="G23" s="7" t="s">
        <v>86</v>
      </c>
    </row>
    <row r="24" customFormat="false" ht="15" hidden="false" customHeight="false" outlineLevel="0" collapsed="false">
      <c r="A24" s="4" t="s">
        <v>87</v>
      </c>
      <c r="B24" s="4"/>
      <c r="C24" s="4"/>
      <c r="D24" s="4"/>
      <c r="E24" s="4"/>
      <c r="F24" s="4"/>
      <c r="G24" s="4"/>
    </row>
    <row r="25" customFormat="false" ht="22.35" hidden="false" customHeight="false" outlineLevel="0" collapsed="false">
      <c r="A25" s="5" t="s">
        <v>88</v>
      </c>
      <c r="B25" s="5" t="s">
        <v>89</v>
      </c>
      <c r="C25" s="5" t="s">
        <v>90</v>
      </c>
      <c r="D25" s="5" t="s">
        <v>91</v>
      </c>
      <c r="E25" s="8" t="s">
        <v>92</v>
      </c>
      <c r="F25" s="5" t="s">
        <v>93</v>
      </c>
      <c r="G25" s="5" t="s">
        <v>94</v>
      </c>
    </row>
    <row r="26" customFormat="false" ht="22.35" hidden="false" customHeight="false" outlineLevel="0" collapsed="false">
      <c r="A26" s="7" t="s">
        <v>95</v>
      </c>
      <c r="B26" s="7" t="s">
        <v>89</v>
      </c>
      <c r="C26" s="7" t="s">
        <v>96</v>
      </c>
      <c r="D26" s="7" t="s">
        <v>97</v>
      </c>
      <c r="E26" s="8" t="s">
        <v>92</v>
      </c>
      <c r="F26" s="7" t="s">
        <v>98</v>
      </c>
      <c r="G26" s="7" t="s">
        <v>99</v>
      </c>
    </row>
    <row r="27" customFormat="false" ht="22.35" hidden="false" customHeight="false" outlineLevel="0" collapsed="false">
      <c r="A27" s="5" t="s">
        <v>100</v>
      </c>
      <c r="B27" s="5" t="s">
        <v>89</v>
      </c>
      <c r="C27" s="5" t="s">
        <v>101</v>
      </c>
      <c r="D27" s="5" t="s">
        <v>102</v>
      </c>
      <c r="E27" s="8" t="s">
        <v>92</v>
      </c>
      <c r="F27" s="5" t="s">
        <v>103</v>
      </c>
      <c r="G27" s="5" t="s">
        <v>104</v>
      </c>
    </row>
    <row r="28" customFormat="false" ht="22.35" hidden="false" customHeight="false" outlineLevel="0" collapsed="false">
      <c r="A28" s="7" t="s">
        <v>105</v>
      </c>
      <c r="B28" s="7" t="s">
        <v>89</v>
      </c>
      <c r="C28" s="7" t="s">
        <v>106</v>
      </c>
      <c r="D28" s="7" t="s">
        <v>107</v>
      </c>
      <c r="E28" s="8" t="s">
        <v>92</v>
      </c>
      <c r="F28" s="7" t="s">
        <v>108</v>
      </c>
      <c r="G28" s="7" t="s">
        <v>109</v>
      </c>
    </row>
    <row r="29" customFormat="false" ht="22.35" hidden="false" customHeight="false" outlineLevel="0" collapsed="false">
      <c r="A29" s="5" t="s">
        <v>110</v>
      </c>
      <c r="B29" s="5" t="s">
        <v>89</v>
      </c>
      <c r="C29" s="5" t="s">
        <v>111</v>
      </c>
      <c r="D29" s="5" t="s">
        <v>112</v>
      </c>
      <c r="E29" s="8" t="s">
        <v>92</v>
      </c>
      <c r="F29" s="5" t="s">
        <v>113</v>
      </c>
      <c r="G29" s="5" t="s">
        <v>114</v>
      </c>
    </row>
    <row r="30" customFormat="false" ht="22.35" hidden="false" customHeight="false" outlineLevel="0" collapsed="false">
      <c r="A30" s="7" t="s">
        <v>115</v>
      </c>
      <c r="B30" s="7" t="s">
        <v>89</v>
      </c>
      <c r="C30" s="7" t="s">
        <v>116</v>
      </c>
      <c r="D30" s="7" t="s">
        <v>117</v>
      </c>
      <c r="E30" s="8" t="s">
        <v>92</v>
      </c>
      <c r="F30" s="7" t="s">
        <v>118</v>
      </c>
      <c r="G30" s="7" t="s">
        <v>119</v>
      </c>
    </row>
    <row r="31" customFormat="false" ht="15" hidden="false" customHeight="false" outlineLevel="0" collapsed="false">
      <c r="A31" s="5" t="s">
        <v>120</v>
      </c>
      <c r="B31" s="5" t="s">
        <v>89</v>
      </c>
      <c r="C31" s="5" t="s">
        <v>121</v>
      </c>
      <c r="D31" s="5" t="s">
        <v>122</v>
      </c>
      <c r="E31" s="6" t="s">
        <v>14</v>
      </c>
      <c r="F31" s="5" t="s">
        <v>123</v>
      </c>
      <c r="G31" s="5" t="s">
        <v>124</v>
      </c>
    </row>
    <row r="32" customFormat="false" ht="22.35" hidden="false" customHeight="false" outlineLevel="0" collapsed="false">
      <c r="A32" s="7" t="s">
        <v>125</v>
      </c>
      <c r="B32" s="7" t="s">
        <v>89</v>
      </c>
      <c r="C32" s="7" t="s">
        <v>126</v>
      </c>
      <c r="D32" s="7" t="s">
        <v>127</v>
      </c>
      <c r="E32" s="8" t="s">
        <v>92</v>
      </c>
      <c r="F32" s="7" t="s">
        <v>128</v>
      </c>
      <c r="G32" s="7" t="s">
        <v>129</v>
      </c>
    </row>
    <row r="33" customFormat="false" ht="15" hidden="false" customHeight="false" outlineLevel="0" collapsed="false">
      <c r="A33" s="5" t="s">
        <v>130</v>
      </c>
      <c r="B33" s="5" t="s">
        <v>89</v>
      </c>
      <c r="C33" s="5" t="s">
        <v>131</v>
      </c>
      <c r="D33" s="5" t="s">
        <v>45</v>
      </c>
      <c r="E33" s="6" t="s">
        <v>14</v>
      </c>
      <c r="F33" s="5" t="s">
        <v>132</v>
      </c>
      <c r="G33" s="5"/>
    </row>
    <row r="34" customFormat="false" ht="15" hidden="false" customHeight="false" outlineLevel="0" collapsed="false">
      <c r="A34" s="4" t="s">
        <v>133</v>
      </c>
      <c r="B34" s="4"/>
      <c r="C34" s="4"/>
      <c r="D34" s="4"/>
      <c r="E34" s="4"/>
      <c r="F34" s="4"/>
      <c r="G34" s="4"/>
    </row>
    <row r="35" customFormat="false" ht="22.35" hidden="false" customHeight="false" outlineLevel="0" collapsed="false">
      <c r="A35" s="5" t="s">
        <v>134</v>
      </c>
      <c r="B35" s="5" t="s">
        <v>135</v>
      </c>
      <c r="C35" s="5" t="s">
        <v>136</v>
      </c>
      <c r="D35" s="5" t="s">
        <v>137</v>
      </c>
      <c r="E35" s="6" t="s">
        <v>14</v>
      </c>
      <c r="F35" s="5" t="s">
        <v>138</v>
      </c>
      <c r="G35" s="5"/>
    </row>
    <row r="36" customFormat="false" ht="32.8" hidden="false" customHeight="false" outlineLevel="0" collapsed="false">
      <c r="A36" s="7" t="s">
        <v>139</v>
      </c>
      <c r="B36" s="7" t="s">
        <v>135</v>
      </c>
      <c r="C36" s="7" t="s">
        <v>140</v>
      </c>
      <c r="D36" s="7" t="s">
        <v>141</v>
      </c>
      <c r="E36" s="8" t="s">
        <v>92</v>
      </c>
      <c r="F36" s="7" t="s">
        <v>142</v>
      </c>
      <c r="G36" s="7" t="s">
        <v>143</v>
      </c>
    </row>
    <row r="37" customFormat="false" ht="22.35" hidden="false" customHeight="false" outlineLevel="0" collapsed="false">
      <c r="A37" s="5" t="s">
        <v>144</v>
      </c>
      <c r="B37" s="5" t="s">
        <v>135</v>
      </c>
      <c r="C37" s="5" t="s">
        <v>145</v>
      </c>
      <c r="D37" s="5" t="s">
        <v>146</v>
      </c>
      <c r="E37" s="8" t="s">
        <v>92</v>
      </c>
      <c r="F37" s="5" t="s">
        <v>147</v>
      </c>
      <c r="G37" s="5" t="s">
        <v>148</v>
      </c>
    </row>
    <row r="38" customFormat="false" ht="15" hidden="false" customHeight="false" outlineLevel="0" collapsed="false">
      <c r="A38" s="7" t="s">
        <v>149</v>
      </c>
      <c r="B38" s="7" t="s">
        <v>135</v>
      </c>
      <c r="C38" s="7" t="s">
        <v>150</v>
      </c>
      <c r="D38" s="7" t="s">
        <v>59</v>
      </c>
      <c r="E38" s="8" t="s">
        <v>92</v>
      </c>
      <c r="F38" s="7" t="s">
        <v>151</v>
      </c>
      <c r="G38" s="7" t="s">
        <v>152</v>
      </c>
    </row>
    <row r="39" customFormat="false" ht="22.35" hidden="false" customHeight="false" outlineLevel="0" collapsed="false">
      <c r="A39" s="5" t="s">
        <v>153</v>
      </c>
      <c r="B39" s="5" t="s">
        <v>135</v>
      </c>
      <c r="C39" s="5" t="s">
        <v>154</v>
      </c>
      <c r="D39" s="5" t="s">
        <v>155</v>
      </c>
      <c r="E39" s="8" t="s">
        <v>92</v>
      </c>
      <c r="F39" s="5" t="s">
        <v>156</v>
      </c>
      <c r="G39" s="5" t="s">
        <v>157</v>
      </c>
    </row>
    <row r="40" customFormat="false" ht="22.35" hidden="false" customHeight="false" outlineLevel="0" collapsed="false">
      <c r="A40" s="7" t="s">
        <v>158</v>
      </c>
      <c r="B40" s="7" t="s">
        <v>135</v>
      </c>
      <c r="C40" s="7" t="s">
        <v>159</v>
      </c>
      <c r="D40" s="7" t="s">
        <v>160</v>
      </c>
      <c r="E40" s="8" t="s">
        <v>92</v>
      </c>
      <c r="F40" s="7" t="s">
        <v>161</v>
      </c>
      <c r="G40" s="7" t="s">
        <v>162</v>
      </c>
    </row>
    <row r="41" customFormat="false" ht="22.35" hidden="false" customHeight="false" outlineLevel="0" collapsed="false">
      <c r="A41" s="5" t="s">
        <v>163</v>
      </c>
      <c r="B41" s="5" t="s">
        <v>135</v>
      </c>
      <c r="C41" s="5" t="s">
        <v>164</v>
      </c>
      <c r="D41" s="5" t="s">
        <v>80</v>
      </c>
      <c r="E41" s="8" t="s">
        <v>92</v>
      </c>
      <c r="F41" s="5" t="s">
        <v>165</v>
      </c>
      <c r="G41" s="5" t="s">
        <v>166</v>
      </c>
    </row>
    <row r="42" customFormat="false" ht="15" hidden="false" customHeight="false" outlineLevel="0" collapsed="false">
      <c r="A42" s="7" t="s">
        <v>167</v>
      </c>
      <c r="B42" s="7" t="s">
        <v>135</v>
      </c>
      <c r="C42" s="7" t="s">
        <v>168</v>
      </c>
      <c r="D42" s="7" t="s">
        <v>169</v>
      </c>
      <c r="E42" s="8" t="s">
        <v>92</v>
      </c>
      <c r="F42" s="7" t="s">
        <v>170</v>
      </c>
      <c r="G42" s="7" t="s">
        <v>171</v>
      </c>
    </row>
    <row r="43" customFormat="false" ht="15" hidden="false" customHeight="false" outlineLevel="0" collapsed="false">
      <c r="A43" s="5" t="s">
        <v>172</v>
      </c>
      <c r="B43" s="5" t="s">
        <v>135</v>
      </c>
      <c r="C43" s="5" t="s">
        <v>173</v>
      </c>
      <c r="D43" s="5" t="s">
        <v>174</v>
      </c>
      <c r="E43" s="8" t="s">
        <v>92</v>
      </c>
      <c r="F43" s="5" t="s">
        <v>175</v>
      </c>
      <c r="G43" s="5" t="s">
        <v>176</v>
      </c>
    </row>
    <row r="44" customFormat="false" ht="22.35" hidden="false" customHeight="false" outlineLevel="0" collapsed="false">
      <c r="A44" s="7" t="s">
        <v>177</v>
      </c>
      <c r="B44" s="7" t="s">
        <v>135</v>
      </c>
      <c r="C44" s="7" t="s">
        <v>178</v>
      </c>
      <c r="D44" s="7" t="s">
        <v>179</v>
      </c>
      <c r="E44" s="6" t="s">
        <v>14</v>
      </c>
      <c r="F44" s="7" t="s">
        <v>180</v>
      </c>
      <c r="G44" s="7" t="s">
        <v>181</v>
      </c>
    </row>
    <row r="45" customFormat="false" ht="15" hidden="false" customHeight="false" outlineLevel="0" collapsed="false">
      <c r="A45" s="4" t="s">
        <v>182</v>
      </c>
      <c r="B45" s="4"/>
      <c r="C45" s="4"/>
      <c r="D45" s="4"/>
      <c r="E45" s="4"/>
      <c r="F45" s="4"/>
      <c r="G45" s="4"/>
    </row>
    <row r="46" customFormat="false" ht="22.35" hidden="false" customHeight="false" outlineLevel="0" collapsed="false">
      <c r="A46" s="5" t="s">
        <v>183</v>
      </c>
      <c r="B46" s="5" t="s">
        <v>184</v>
      </c>
      <c r="C46" s="5" t="s">
        <v>185</v>
      </c>
      <c r="D46" s="5" t="s">
        <v>186</v>
      </c>
      <c r="E46" s="8" t="s">
        <v>92</v>
      </c>
      <c r="F46" s="5" t="s">
        <v>187</v>
      </c>
      <c r="G46" s="5" t="s">
        <v>188</v>
      </c>
    </row>
    <row r="47" customFormat="false" ht="15" hidden="false" customHeight="false" outlineLevel="0" collapsed="false">
      <c r="A47" s="7" t="s">
        <v>189</v>
      </c>
      <c r="B47" s="7" t="s">
        <v>184</v>
      </c>
      <c r="C47" s="7" t="s">
        <v>190</v>
      </c>
      <c r="D47" s="7" t="s">
        <v>191</v>
      </c>
      <c r="E47" s="8" t="s">
        <v>92</v>
      </c>
      <c r="F47" s="7" t="s">
        <v>192</v>
      </c>
      <c r="G47" s="7" t="s">
        <v>193</v>
      </c>
    </row>
    <row r="48" customFormat="false" ht="15" hidden="false" customHeight="false" outlineLevel="0" collapsed="false">
      <c r="A48" s="5" t="s">
        <v>194</v>
      </c>
      <c r="B48" s="5" t="s">
        <v>184</v>
      </c>
      <c r="C48" s="5" t="s">
        <v>195</v>
      </c>
      <c r="D48" s="5" t="s">
        <v>196</v>
      </c>
      <c r="E48" s="8" t="s">
        <v>92</v>
      </c>
      <c r="F48" s="5" t="s">
        <v>197</v>
      </c>
      <c r="G48" s="5" t="s">
        <v>198</v>
      </c>
    </row>
    <row r="49" customFormat="false" ht="15" hidden="false" customHeight="false" outlineLevel="0" collapsed="false">
      <c r="A49" s="7" t="s">
        <v>199</v>
      </c>
      <c r="B49" s="7" t="s">
        <v>184</v>
      </c>
      <c r="C49" s="7" t="s">
        <v>200</v>
      </c>
      <c r="D49" s="7" t="s">
        <v>201</v>
      </c>
      <c r="E49" s="8" t="s">
        <v>92</v>
      </c>
      <c r="F49" s="7" t="s">
        <v>202</v>
      </c>
      <c r="G49" s="7" t="s">
        <v>203</v>
      </c>
    </row>
    <row r="50" customFormat="false" ht="22.35" hidden="false" customHeight="false" outlineLevel="0" collapsed="false">
      <c r="A50" s="5" t="s">
        <v>204</v>
      </c>
      <c r="B50" s="5" t="s">
        <v>184</v>
      </c>
      <c r="C50" s="5" t="s">
        <v>205</v>
      </c>
      <c r="D50" s="5" t="s">
        <v>206</v>
      </c>
      <c r="E50" s="8" t="s">
        <v>92</v>
      </c>
      <c r="F50" s="5" t="s">
        <v>207</v>
      </c>
      <c r="G50" s="5" t="s">
        <v>208</v>
      </c>
    </row>
    <row r="51" customFormat="false" ht="15" hidden="false" customHeight="false" outlineLevel="0" collapsed="false">
      <c r="A51" s="7" t="s">
        <v>209</v>
      </c>
      <c r="B51" s="7" t="s">
        <v>184</v>
      </c>
      <c r="C51" s="7" t="s">
        <v>210</v>
      </c>
      <c r="D51" s="7" t="s">
        <v>211</v>
      </c>
      <c r="E51" s="8" t="s">
        <v>92</v>
      </c>
      <c r="F51" s="7" t="s">
        <v>212</v>
      </c>
      <c r="G51" s="7" t="s">
        <v>213</v>
      </c>
    </row>
    <row r="52" customFormat="false" ht="15" hidden="false" customHeight="false" outlineLevel="0" collapsed="false">
      <c r="A52" s="5" t="s">
        <v>214</v>
      </c>
      <c r="B52" s="5" t="s">
        <v>184</v>
      </c>
      <c r="C52" s="5" t="s">
        <v>215</v>
      </c>
      <c r="D52" s="5" t="s">
        <v>216</v>
      </c>
      <c r="E52" s="8" t="s">
        <v>92</v>
      </c>
      <c r="F52" s="5" t="s">
        <v>217</v>
      </c>
      <c r="G52" s="5" t="s">
        <v>218</v>
      </c>
    </row>
    <row r="53" customFormat="false" ht="15" hidden="false" customHeight="false" outlineLevel="0" collapsed="false">
      <c r="A53" s="7" t="s">
        <v>219</v>
      </c>
      <c r="B53" s="7" t="s">
        <v>184</v>
      </c>
      <c r="C53" s="7" t="s">
        <v>220</v>
      </c>
      <c r="D53" s="7" t="s">
        <v>221</v>
      </c>
      <c r="E53" s="6" t="s">
        <v>14</v>
      </c>
      <c r="F53" s="7" t="s">
        <v>222</v>
      </c>
      <c r="G53" s="7" t="s">
        <v>223</v>
      </c>
    </row>
    <row r="54" customFormat="false" ht="22.35" hidden="false" customHeight="false" outlineLevel="0" collapsed="false">
      <c r="A54" s="5" t="s">
        <v>224</v>
      </c>
      <c r="B54" s="5" t="s">
        <v>184</v>
      </c>
      <c r="C54" s="5" t="s">
        <v>225</v>
      </c>
      <c r="D54" s="5" t="s">
        <v>226</v>
      </c>
      <c r="E54" s="6" t="s">
        <v>14</v>
      </c>
      <c r="F54" s="5" t="s">
        <v>227</v>
      </c>
      <c r="G54" s="5" t="s">
        <v>228</v>
      </c>
    </row>
    <row r="55" customFormat="false" ht="32.8" hidden="false" customHeight="false" outlineLevel="0" collapsed="false">
      <c r="A55" s="7" t="s">
        <v>229</v>
      </c>
      <c r="B55" s="7" t="s">
        <v>184</v>
      </c>
      <c r="C55" s="7" t="s">
        <v>230</v>
      </c>
      <c r="D55" s="7" t="s">
        <v>231</v>
      </c>
      <c r="E55" s="6" t="s">
        <v>14</v>
      </c>
      <c r="F55" s="7" t="s">
        <v>232</v>
      </c>
      <c r="G55" s="7" t="s">
        <v>233</v>
      </c>
    </row>
    <row r="56" customFormat="false" ht="15" hidden="false" customHeight="false" outlineLevel="0" collapsed="false">
      <c r="A56" s="5" t="s">
        <v>234</v>
      </c>
      <c r="B56" s="5" t="s">
        <v>184</v>
      </c>
      <c r="C56" s="5" t="s">
        <v>235</v>
      </c>
      <c r="D56" s="5" t="s">
        <v>236</v>
      </c>
      <c r="E56" s="6" t="s">
        <v>14</v>
      </c>
      <c r="F56" s="5" t="s">
        <v>237</v>
      </c>
      <c r="G56" s="5"/>
    </row>
    <row r="57" customFormat="false" ht="15" hidden="false" customHeight="false" outlineLevel="0" collapsed="false">
      <c r="A57" s="7" t="s">
        <v>238</v>
      </c>
      <c r="B57" s="7" t="s">
        <v>184</v>
      </c>
      <c r="C57" s="7" t="s">
        <v>239</v>
      </c>
      <c r="D57" s="7" t="s">
        <v>240</v>
      </c>
      <c r="E57" s="8" t="s">
        <v>92</v>
      </c>
      <c r="F57" s="7" t="s">
        <v>241</v>
      </c>
      <c r="G57" s="7" t="s">
        <v>242</v>
      </c>
    </row>
    <row r="58" customFormat="false" ht="15" hidden="false" customHeight="false" outlineLevel="0" collapsed="false">
      <c r="A58" s="4" t="s">
        <v>243</v>
      </c>
      <c r="B58" s="4"/>
      <c r="C58" s="4"/>
      <c r="D58" s="4"/>
      <c r="E58" s="4"/>
      <c r="F58" s="4"/>
      <c r="G58" s="4"/>
    </row>
    <row r="59" customFormat="false" ht="15" hidden="false" customHeight="false" outlineLevel="0" collapsed="false">
      <c r="A59" s="5" t="s">
        <v>244</v>
      </c>
      <c r="B59" s="5" t="s">
        <v>245</v>
      </c>
      <c r="C59" s="5" t="s">
        <v>246</v>
      </c>
      <c r="D59" s="5" t="s">
        <v>247</v>
      </c>
      <c r="E59" s="6" t="s">
        <v>14</v>
      </c>
      <c r="F59" s="5" t="s">
        <v>248</v>
      </c>
      <c r="G59" s="5"/>
    </row>
    <row r="60" customFormat="false" ht="15" hidden="false" customHeight="false" outlineLevel="0" collapsed="false">
      <c r="A60" s="7" t="s">
        <v>249</v>
      </c>
      <c r="B60" s="7" t="s">
        <v>245</v>
      </c>
      <c r="C60" s="7" t="s">
        <v>250</v>
      </c>
      <c r="D60" s="7" t="s">
        <v>251</v>
      </c>
      <c r="E60" s="8" t="s">
        <v>92</v>
      </c>
      <c r="F60" s="7" t="s">
        <v>252</v>
      </c>
      <c r="G60" s="7" t="s">
        <v>253</v>
      </c>
    </row>
    <row r="61" customFormat="false" ht="15" hidden="false" customHeight="false" outlineLevel="0" collapsed="false">
      <c r="A61" s="5" t="s">
        <v>254</v>
      </c>
      <c r="B61" s="5" t="s">
        <v>245</v>
      </c>
      <c r="C61" s="5" t="s">
        <v>255</v>
      </c>
      <c r="D61" s="5" t="s">
        <v>256</v>
      </c>
      <c r="E61" s="6" t="s">
        <v>14</v>
      </c>
      <c r="F61" s="5" t="s">
        <v>257</v>
      </c>
      <c r="G61" s="5"/>
    </row>
    <row r="62" customFormat="false" ht="22.35" hidden="false" customHeight="false" outlineLevel="0" collapsed="false">
      <c r="A62" s="7" t="s">
        <v>258</v>
      </c>
      <c r="B62" s="7" t="s">
        <v>245</v>
      </c>
      <c r="C62" s="7" t="s">
        <v>259</v>
      </c>
      <c r="D62" s="7" t="s">
        <v>260</v>
      </c>
      <c r="E62" s="8" t="s">
        <v>92</v>
      </c>
      <c r="F62" s="7" t="s">
        <v>261</v>
      </c>
      <c r="G62" s="7" t="s">
        <v>262</v>
      </c>
    </row>
    <row r="63" customFormat="false" ht="15" hidden="false" customHeight="false" outlineLevel="0" collapsed="false">
      <c r="A63" s="5" t="s">
        <v>263</v>
      </c>
      <c r="B63" s="5" t="s">
        <v>245</v>
      </c>
      <c r="C63" s="5" t="s">
        <v>264</v>
      </c>
      <c r="D63" s="5" t="s">
        <v>265</v>
      </c>
      <c r="E63" s="6" t="s">
        <v>14</v>
      </c>
      <c r="F63" s="5" t="s">
        <v>266</v>
      </c>
      <c r="G63" s="5"/>
    </row>
    <row r="64" customFormat="false" ht="15" hidden="false" customHeight="false" outlineLevel="0" collapsed="false">
      <c r="A64" s="7" t="s">
        <v>267</v>
      </c>
      <c r="B64" s="7" t="s">
        <v>245</v>
      </c>
      <c r="C64" s="7" t="s">
        <v>268</v>
      </c>
      <c r="D64" s="7" t="s">
        <v>269</v>
      </c>
      <c r="E64" s="6" t="s">
        <v>14</v>
      </c>
      <c r="F64" s="7" t="s">
        <v>270</v>
      </c>
      <c r="G64" s="7"/>
    </row>
    <row r="65" customFormat="false" ht="15" hidden="false" customHeight="false" outlineLevel="0" collapsed="false">
      <c r="A65" s="5" t="s">
        <v>271</v>
      </c>
      <c r="B65" s="5" t="s">
        <v>245</v>
      </c>
      <c r="C65" s="5" t="s">
        <v>272</v>
      </c>
      <c r="D65" s="5" t="s">
        <v>273</v>
      </c>
      <c r="E65" s="6" t="s">
        <v>14</v>
      </c>
      <c r="F65" s="5" t="s">
        <v>274</v>
      </c>
      <c r="G65" s="5"/>
    </row>
    <row r="66" customFormat="false" ht="15" hidden="false" customHeight="false" outlineLevel="0" collapsed="false">
      <c r="A66" s="7" t="s">
        <v>275</v>
      </c>
      <c r="B66" s="7" t="s">
        <v>245</v>
      </c>
      <c r="C66" s="7" t="s">
        <v>276</v>
      </c>
      <c r="D66" s="7" t="s">
        <v>277</v>
      </c>
      <c r="E66" s="6" t="s">
        <v>14</v>
      </c>
      <c r="F66" s="7" t="s">
        <v>278</v>
      </c>
      <c r="G66" s="7"/>
    </row>
    <row r="67" customFormat="false" ht="15" hidden="false" customHeight="false" outlineLevel="0" collapsed="false">
      <c r="A67" s="4" t="s">
        <v>279</v>
      </c>
      <c r="B67" s="4"/>
      <c r="C67" s="4"/>
      <c r="D67" s="4"/>
      <c r="E67" s="4"/>
      <c r="F67" s="4"/>
      <c r="G67" s="4"/>
    </row>
    <row r="68" customFormat="false" ht="15" hidden="false" customHeight="false" outlineLevel="0" collapsed="false">
      <c r="A68" s="5" t="s">
        <v>280</v>
      </c>
      <c r="B68" s="5" t="s">
        <v>281</v>
      </c>
      <c r="C68" s="5" t="s">
        <v>282</v>
      </c>
      <c r="D68" s="5" t="s">
        <v>283</v>
      </c>
      <c r="E68" s="6" t="s">
        <v>14</v>
      </c>
      <c r="F68" s="5" t="s">
        <v>284</v>
      </c>
      <c r="G68" s="5"/>
    </row>
    <row r="69" customFormat="false" ht="15" hidden="false" customHeight="false" outlineLevel="0" collapsed="false">
      <c r="A69" s="7" t="s">
        <v>285</v>
      </c>
      <c r="B69" s="7" t="s">
        <v>281</v>
      </c>
      <c r="C69" s="7" t="s">
        <v>286</v>
      </c>
      <c r="D69" s="7" t="s">
        <v>45</v>
      </c>
      <c r="E69" s="6" t="s">
        <v>14</v>
      </c>
      <c r="F69" s="7" t="s">
        <v>287</v>
      </c>
      <c r="G69" s="7"/>
    </row>
    <row r="70" customFormat="false" ht="15" hidden="false" customHeight="false" outlineLevel="0" collapsed="false">
      <c r="A70" s="5" t="s">
        <v>288</v>
      </c>
      <c r="B70" s="5" t="s">
        <v>281</v>
      </c>
      <c r="C70" s="5" t="s">
        <v>289</v>
      </c>
      <c r="D70" s="5" t="s">
        <v>290</v>
      </c>
      <c r="E70" s="6" t="s">
        <v>14</v>
      </c>
      <c r="F70" s="5" t="s">
        <v>291</v>
      </c>
      <c r="G70" s="5"/>
    </row>
    <row r="71" customFormat="false" ht="22.35" hidden="false" customHeight="false" outlineLevel="0" collapsed="false">
      <c r="A71" s="7" t="s">
        <v>292</v>
      </c>
      <c r="B71" s="7" t="s">
        <v>281</v>
      </c>
      <c r="C71" s="7" t="s">
        <v>293</v>
      </c>
      <c r="D71" s="7" t="s">
        <v>294</v>
      </c>
      <c r="E71" s="6" t="s">
        <v>14</v>
      </c>
      <c r="F71" s="7" t="s">
        <v>295</v>
      </c>
      <c r="G71" s="7"/>
    </row>
    <row r="72" customFormat="false" ht="15" hidden="false" customHeight="false" outlineLevel="0" collapsed="false">
      <c r="A72" s="5" t="s">
        <v>296</v>
      </c>
      <c r="B72" s="5" t="s">
        <v>281</v>
      </c>
      <c r="C72" s="5" t="s">
        <v>297</v>
      </c>
      <c r="D72" s="5" t="s">
        <v>298</v>
      </c>
      <c r="E72" s="9" t="s">
        <v>299</v>
      </c>
      <c r="F72" s="5" t="s">
        <v>300</v>
      </c>
      <c r="G72" s="5" t="s">
        <v>301</v>
      </c>
    </row>
    <row r="73" customFormat="false" ht="22.35" hidden="false" customHeight="false" outlineLevel="0" collapsed="false">
      <c r="A73" s="7" t="s">
        <v>302</v>
      </c>
      <c r="B73" s="7" t="s">
        <v>281</v>
      </c>
      <c r="C73" s="7" t="s">
        <v>303</v>
      </c>
      <c r="D73" s="7" t="s">
        <v>304</v>
      </c>
      <c r="E73" s="6" t="s">
        <v>14</v>
      </c>
      <c r="F73" s="7" t="s">
        <v>305</v>
      </c>
      <c r="G73" s="7"/>
    </row>
    <row r="74" customFormat="false" ht="22.35" hidden="false" customHeight="false" outlineLevel="0" collapsed="false">
      <c r="A74" s="5" t="s">
        <v>306</v>
      </c>
      <c r="B74" s="5" t="s">
        <v>281</v>
      </c>
      <c r="C74" s="5" t="s">
        <v>307</v>
      </c>
      <c r="D74" s="5" t="s">
        <v>308</v>
      </c>
      <c r="E74" s="9" t="s">
        <v>299</v>
      </c>
      <c r="F74" s="5" t="s">
        <v>309</v>
      </c>
      <c r="G74" s="5" t="s">
        <v>310</v>
      </c>
    </row>
    <row r="75" customFormat="false" ht="15" hidden="false" customHeight="false" outlineLevel="0" collapsed="false">
      <c r="A75" s="7" t="s">
        <v>311</v>
      </c>
      <c r="B75" s="7" t="s">
        <v>281</v>
      </c>
      <c r="C75" s="7" t="s">
        <v>312</v>
      </c>
      <c r="D75" s="7" t="s">
        <v>40</v>
      </c>
      <c r="E75" s="6" t="s">
        <v>14</v>
      </c>
      <c r="F75" s="7" t="s">
        <v>313</v>
      </c>
      <c r="G75" s="7"/>
    </row>
    <row r="76" customFormat="false" ht="32.8" hidden="false" customHeight="false" outlineLevel="0" collapsed="false">
      <c r="A76" s="5" t="s">
        <v>314</v>
      </c>
      <c r="B76" s="5" t="s">
        <v>281</v>
      </c>
      <c r="C76" s="5" t="s">
        <v>315</v>
      </c>
      <c r="D76" s="5" t="s">
        <v>316</v>
      </c>
      <c r="E76" s="6" t="s">
        <v>14</v>
      </c>
      <c r="F76" s="5" t="s">
        <v>317</v>
      </c>
      <c r="G76" s="5" t="s">
        <v>318</v>
      </c>
    </row>
    <row r="77" customFormat="false" ht="43.25" hidden="false" customHeight="false" outlineLevel="0" collapsed="false">
      <c r="A77" s="7" t="s">
        <v>319</v>
      </c>
      <c r="B77" s="7" t="s">
        <v>281</v>
      </c>
      <c r="C77" s="7" t="s">
        <v>320</v>
      </c>
      <c r="D77" s="7" t="s">
        <v>321</v>
      </c>
      <c r="E77" s="6" t="s">
        <v>14</v>
      </c>
      <c r="F77" s="7" t="s">
        <v>322</v>
      </c>
      <c r="G77" s="7" t="s">
        <v>323</v>
      </c>
    </row>
    <row r="78" customFormat="false" ht="15" hidden="false" customHeight="false" outlineLevel="0" collapsed="false">
      <c r="A78" s="4" t="s">
        <v>324</v>
      </c>
      <c r="B78" s="4"/>
      <c r="C78" s="4"/>
      <c r="D78" s="4"/>
      <c r="E78" s="4"/>
      <c r="F78" s="4"/>
      <c r="G78" s="4"/>
    </row>
    <row r="79" customFormat="false" ht="22.35" hidden="false" customHeight="false" outlineLevel="0" collapsed="false">
      <c r="A79" s="5" t="s">
        <v>325</v>
      </c>
      <c r="B79" s="5" t="s">
        <v>326</v>
      </c>
      <c r="C79" s="5" t="s">
        <v>327</v>
      </c>
      <c r="D79" s="5" t="s">
        <v>328</v>
      </c>
      <c r="E79" s="8" t="s">
        <v>92</v>
      </c>
      <c r="F79" s="5" t="s">
        <v>329</v>
      </c>
      <c r="G79" s="5" t="s">
        <v>330</v>
      </c>
    </row>
    <row r="80" customFormat="false" ht="22.35" hidden="false" customHeight="false" outlineLevel="0" collapsed="false">
      <c r="A80" s="7" t="s">
        <v>331</v>
      </c>
      <c r="B80" s="7" t="s">
        <v>326</v>
      </c>
      <c r="C80" s="7" t="s">
        <v>332</v>
      </c>
      <c r="D80" s="7" t="s">
        <v>333</v>
      </c>
      <c r="E80" s="8" t="s">
        <v>92</v>
      </c>
      <c r="F80" s="7" t="s">
        <v>334</v>
      </c>
      <c r="G80" s="7" t="s">
        <v>335</v>
      </c>
    </row>
    <row r="81" customFormat="false" ht="15" hidden="false" customHeight="false" outlineLevel="0" collapsed="false">
      <c r="A81" s="5" t="s">
        <v>336</v>
      </c>
      <c r="B81" s="5" t="s">
        <v>326</v>
      </c>
      <c r="C81" s="5" t="s">
        <v>337</v>
      </c>
      <c r="D81" s="5" t="s">
        <v>338</v>
      </c>
      <c r="E81" s="8" t="s">
        <v>92</v>
      </c>
      <c r="F81" s="5" t="s">
        <v>339</v>
      </c>
      <c r="G81" s="5" t="s">
        <v>340</v>
      </c>
    </row>
    <row r="82" customFormat="false" ht="22.35" hidden="false" customHeight="false" outlineLevel="0" collapsed="false">
      <c r="A82" s="7" t="s">
        <v>341</v>
      </c>
      <c r="B82" s="7" t="s">
        <v>326</v>
      </c>
      <c r="C82" s="7" t="s">
        <v>342</v>
      </c>
      <c r="D82" s="7" t="s">
        <v>343</v>
      </c>
      <c r="E82" s="8" t="s">
        <v>92</v>
      </c>
      <c r="F82" s="7" t="s">
        <v>344</v>
      </c>
      <c r="G82" s="7" t="s">
        <v>345</v>
      </c>
    </row>
    <row r="83" customFormat="false" ht="15" hidden="false" customHeight="false" outlineLevel="0" collapsed="false">
      <c r="A83" s="5" t="s">
        <v>346</v>
      </c>
      <c r="B83" s="5" t="s">
        <v>326</v>
      </c>
      <c r="C83" s="5" t="s">
        <v>347</v>
      </c>
      <c r="D83" s="5" t="s">
        <v>348</v>
      </c>
      <c r="E83" s="8" t="s">
        <v>92</v>
      </c>
      <c r="F83" s="5" t="s">
        <v>349</v>
      </c>
      <c r="G83" s="5" t="s">
        <v>345</v>
      </c>
    </row>
  </sheetData>
  <mergeCells count="10">
    <mergeCell ref="A1:G1"/>
    <mergeCell ref="A2:G2"/>
    <mergeCell ref="A5:G5"/>
    <mergeCell ref="A15:G15"/>
    <mergeCell ref="A24:G24"/>
    <mergeCell ref="A34:G34"/>
    <mergeCell ref="A45:G45"/>
    <mergeCell ref="A58:G58"/>
    <mergeCell ref="A67:G67"/>
    <mergeCell ref="A78:G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350</v>
      </c>
      <c r="B1" s="1"/>
      <c r="C1" s="1"/>
      <c r="D1" s="1"/>
      <c r="E1" s="1"/>
      <c r="F1" s="1"/>
    </row>
    <row r="3" customFormat="false" ht="23.85" hidden="false" customHeight="false" outlineLevel="0" collapsed="false">
      <c r="A3" s="3" t="s">
        <v>3</v>
      </c>
      <c r="B3" s="3" t="s">
        <v>351</v>
      </c>
      <c r="C3" s="3" t="s">
        <v>14</v>
      </c>
      <c r="D3" s="3" t="s">
        <v>299</v>
      </c>
      <c r="E3" s="3" t="s">
        <v>92</v>
      </c>
      <c r="F3" s="3" t="s">
        <v>352</v>
      </c>
    </row>
    <row r="4" customFormat="false" ht="15" hidden="false" customHeight="false" outlineLevel="0" collapsed="false">
      <c r="A4" s="7" t="s">
        <v>353</v>
      </c>
      <c r="B4" s="7" t="n">
        <v>9</v>
      </c>
      <c r="C4" s="7" t="n">
        <v>9</v>
      </c>
      <c r="D4" s="7" t="n">
        <v>0</v>
      </c>
      <c r="E4" s="7" t="n">
        <v>0</v>
      </c>
      <c r="F4" s="7" t="s">
        <v>354</v>
      </c>
    </row>
    <row r="5" customFormat="false" ht="15" hidden="false" customHeight="false" outlineLevel="0" collapsed="false">
      <c r="A5" s="5" t="s">
        <v>355</v>
      </c>
      <c r="B5" s="5" t="n">
        <v>8</v>
      </c>
      <c r="C5" s="5" t="n">
        <v>8</v>
      </c>
      <c r="D5" s="5" t="n">
        <v>0</v>
      </c>
      <c r="E5" s="5" t="n">
        <v>0</v>
      </c>
      <c r="F5" s="5" t="s">
        <v>354</v>
      </c>
    </row>
    <row r="6" customFormat="false" ht="15" hidden="false" customHeight="false" outlineLevel="0" collapsed="false">
      <c r="A6" s="7" t="s">
        <v>356</v>
      </c>
      <c r="B6" s="7" t="n">
        <v>9</v>
      </c>
      <c r="C6" s="7" t="n">
        <v>2</v>
      </c>
      <c r="D6" s="7" t="n">
        <v>0</v>
      </c>
      <c r="E6" s="7" t="n">
        <v>7</v>
      </c>
      <c r="F6" s="7" t="s">
        <v>357</v>
      </c>
    </row>
    <row r="7" customFormat="false" ht="15" hidden="false" customHeight="false" outlineLevel="0" collapsed="false">
      <c r="A7" s="5" t="s">
        <v>358</v>
      </c>
      <c r="B7" s="5" t="n">
        <v>10</v>
      </c>
      <c r="C7" s="5" t="n">
        <v>2</v>
      </c>
      <c r="D7" s="5" t="n">
        <v>0</v>
      </c>
      <c r="E7" s="5" t="n">
        <v>8</v>
      </c>
      <c r="F7" s="5" t="s">
        <v>359</v>
      </c>
    </row>
    <row r="8" customFormat="false" ht="15" hidden="false" customHeight="false" outlineLevel="0" collapsed="false">
      <c r="A8" s="7" t="s">
        <v>360</v>
      </c>
      <c r="B8" s="7" t="n">
        <v>12</v>
      </c>
      <c r="C8" s="7" t="n">
        <v>4</v>
      </c>
      <c r="D8" s="7" t="n">
        <v>0</v>
      </c>
      <c r="E8" s="7" t="n">
        <v>8</v>
      </c>
      <c r="F8" s="7" t="s">
        <v>361</v>
      </c>
    </row>
    <row r="9" customFormat="false" ht="15" hidden="false" customHeight="false" outlineLevel="0" collapsed="false">
      <c r="A9" s="5" t="s">
        <v>362</v>
      </c>
      <c r="B9" s="5" t="n">
        <v>8</v>
      </c>
      <c r="C9" s="5" t="n">
        <v>6</v>
      </c>
      <c r="D9" s="5" t="n">
        <v>0</v>
      </c>
      <c r="E9" s="5" t="n">
        <v>2</v>
      </c>
      <c r="F9" s="5" t="s">
        <v>363</v>
      </c>
    </row>
    <row r="10" customFormat="false" ht="15" hidden="false" customHeight="false" outlineLevel="0" collapsed="false">
      <c r="A10" s="7" t="s">
        <v>364</v>
      </c>
      <c r="B10" s="7" t="n">
        <v>10</v>
      </c>
      <c r="C10" s="7" t="n">
        <v>8</v>
      </c>
      <c r="D10" s="7" t="n">
        <v>2</v>
      </c>
      <c r="E10" s="7" t="n">
        <v>0</v>
      </c>
      <c r="F10" s="7" t="s">
        <v>365</v>
      </c>
    </row>
    <row r="11" customFormat="false" ht="15" hidden="false" customHeight="false" outlineLevel="0" collapsed="false">
      <c r="A11" s="5" t="s">
        <v>366</v>
      </c>
      <c r="B11" s="5" t="n">
        <v>5</v>
      </c>
      <c r="C11" s="5" t="n">
        <v>0</v>
      </c>
      <c r="D11" s="5" t="n">
        <v>0</v>
      </c>
      <c r="E11" s="5" t="n">
        <v>5</v>
      </c>
      <c r="F11" s="5" t="s">
        <v>367</v>
      </c>
    </row>
    <row r="12" customFormat="false" ht="15" hidden="false" customHeight="false" outlineLevel="0" collapsed="false">
      <c r="A12" s="10" t="s">
        <v>368</v>
      </c>
      <c r="B12" s="11" t="n">
        <f aca="false">SUM(B4:B11)</f>
        <v>71</v>
      </c>
      <c r="C12" s="11" t="n">
        <f aca="false">SUM(C4:C11)</f>
        <v>39</v>
      </c>
      <c r="D12" s="11" t="n">
        <f aca="false">SUM(D4:D11)</f>
        <v>2</v>
      </c>
      <c r="E12" s="11" t="n">
        <f aca="false">SUM(E4:E11)</f>
        <v>30</v>
      </c>
      <c r="F12" s="12" t="n">
        <f aca="false">C12/B12</f>
        <v>0.549295774647887</v>
      </c>
    </row>
    <row r="14" customFormat="false" ht="15" hidden="false" customHeight="false" outlineLevel="0" collapsed="false">
      <c r="A14" s="13" t="s">
        <v>369</v>
      </c>
      <c r="B14" s="13"/>
      <c r="C14" s="13"/>
      <c r="D14" s="13"/>
      <c r="E14" s="13"/>
      <c r="F14" s="13"/>
    </row>
    <row r="15" customFormat="false" ht="49.5" hidden="false" customHeight="true" outlineLevel="0" collapsed="false">
      <c r="A15" s="14" t="s">
        <v>370</v>
      </c>
      <c r="B15" s="14"/>
      <c r="C15" s="14"/>
      <c r="D15" s="14"/>
      <c r="E15" s="14"/>
      <c r="F15" s="14"/>
    </row>
    <row r="16" customFormat="false" ht="49.5" hidden="false" customHeight="true" outlineLevel="0" collapsed="false">
      <c r="A16" s="14" t="s">
        <v>371</v>
      </c>
      <c r="B16" s="14"/>
      <c r="C16" s="14"/>
      <c r="D16" s="14"/>
      <c r="E16" s="14"/>
      <c r="F16" s="14"/>
    </row>
    <row r="17" customFormat="false" ht="49.5" hidden="false" customHeight="true" outlineLevel="0" collapsed="false">
      <c r="A17" s="14" t="s">
        <v>372</v>
      </c>
      <c r="B17" s="14"/>
      <c r="C17" s="14"/>
      <c r="D17" s="14"/>
      <c r="E17" s="14"/>
      <c r="F17" s="14"/>
    </row>
    <row r="18" customFormat="false" ht="49.5" hidden="false" customHeight="true" outlineLevel="0" collapsed="false">
      <c r="A18" s="14" t="s">
        <v>373</v>
      </c>
      <c r="B18" s="14"/>
      <c r="C18" s="14"/>
      <c r="D18" s="14"/>
      <c r="E18" s="14"/>
      <c r="F18" s="14"/>
    </row>
    <row r="19" customFormat="false" ht="49.5" hidden="false" customHeight="true" outlineLevel="0" collapsed="false">
      <c r="A19" s="14" t="s">
        <v>374</v>
      </c>
      <c r="B19" s="14"/>
      <c r="C19" s="14"/>
      <c r="D19" s="14"/>
      <c r="E19" s="14"/>
      <c r="F19" s="14"/>
    </row>
    <row r="20" customFormat="false" ht="49.5" hidden="false" customHeight="true" outlineLevel="0" collapsed="false">
      <c r="A20" s="14" t="s">
        <v>375</v>
      </c>
      <c r="B20" s="14"/>
      <c r="C20" s="14"/>
      <c r="D20" s="14"/>
      <c r="E20" s="14"/>
      <c r="F20" s="14"/>
    </row>
    <row r="21" customFormat="false" ht="49.5" hidden="false" customHeight="true" outlineLevel="0" collapsed="false">
      <c r="A21" s="14" t="s">
        <v>376</v>
      </c>
      <c r="B21" s="14"/>
      <c r="C21" s="14"/>
      <c r="D21" s="14"/>
      <c r="E21" s="14"/>
      <c r="F21" s="14"/>
    </row>
  </sheetData>
  <mergeCells count="9">
    <mergeCell ref="A1:F1"/>
    <mergeCell ref="A14:F14"/>
    <mergeCell ref="A15:F15"/>
    <mergeCell ref="A16:F16"/>
    <mergeCell ref="A17:F17"/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2026-03-13T09:24:26Z</dcterms:created>
  <dc:creator>openpyxl</dc:creator>
  <dc:description/>
  <dc:language>en-US</dc:language>
  <cp:lastModifiedBy/>
  <dcterms:modified xsi:type="dcterms:W3CDTF">2026-03-13T09:24:26Z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