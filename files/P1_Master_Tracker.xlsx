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1 Master Tracker" sheetId="1" state="visible" r:id="rId3"/>
    <sheet name="Summary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<sst xmlns="http://schemas.openxmlformats.org/spreadsheetml/2006/main" count="483" uniqueCount="323">
  <si>
    <t xml:space="preserve">P1: BRAND DEVELOPMENT — MASTER TASK TRACKER</t>
  </si>
  <si>
    <t xml:space="preserve">7 subprojects (P1A-P1G) | Weeks 4-10 | Scenario A: ~$2,300 | Scenario B: ~$14,000+ | 13 March 2026</t>
  </si>
  <si>
    <t xml:space="preserve">ID</t>
  </si>
  <si>
    <t xml:space="preserve">Subproject</t>
  </si>
  <si>
    <t xml:space="preserve">Task</t>
  </si>
  <si>
    <t xml:space="preserve">Scenario A Cost</t>
  </si>
  <si>
    <t xml:space="preserve">Status</t>
  </si>
  <si>
    <t xml:space="preserve">Deliverable</t>
  </si>
  <si>
    <t xml:space="preserve">Next Action</t>
  </si>
  <si>
    <t xml:space="preserve">P1A: BRAND NAMING &amp; IDENTITY (Week 1)</t>
  </si>
  <si>
    <t xml:space="preserve">1A.01</t>
  </si>
  <si>
    <t xml:space="preserve">P1A</t>
  </si>
  <si>
    <t xml:space="preserve">Research naming patterns across 16 trail running/outdoor DTC brands</t>
  </si>
  <si>
    <t xml:space="preserve">$0</t>
  </si>
  <si>
    <t xml:space="preserve">Complete</t>
  </si>
  <si>
    <t xml:space="preserve">Naming landscape analysis in P1 Playbook: 5 patterns mapped (foreign word, English compound, made-up, surname, sport term). SMILE framework documented. Failure cases (Edele→Janji, Hoka One One drop).</t>
  </si>
  <si>
    <t xml:space="preserve">1A.02</t>
  </si>
  <si>
    <t xml:space="preserve">Generate 50+ brand name candidates across 4 categories</t>
  </si>
  <si>
    <t xml:space="preserve">50 candidates generated in P1A Name Candidates doc: foreign language words (Finnish, Welsh, Basque, Icelandic), English compounds, coined words, and evocative abstracts. Each with meaning, pronunciation guide, SMILE score.</t>
  </si>
  <si>
    <t xml:space="preserve">Shortlist top 10 with founder.</t>
  </si>
  <si>
    <t xml:space="preserve">1A.03</t>
  </si>
  <si>
    <t xml:space="preserve">Screen top 10 candidates for negative associations in FR, EN, UR, AR, DE</t>
  </si>
  <si>
    <t xml:space="preserve">Screening methodology documented. French + English pronunciation cross-check included for each candidate. Google Translate + native speaker verification recommended.</t>
  </si>
  <si>
    <t xml:space="preserve">Run native speaker checks on final 3-5.</t>
  </si>
  <si>
    <t xml:space="preserve">1A.04</t>
  </si>
  <si>
    <t xml:space="preserve">Check trademark availability (EUIPO eSearch + UKIPO + WIPO)</t>
  </si>
  <si>
    <t xml:space="preserve">Step-by-step trademark search guide with exact URLs (EUIPO eSearch plus, UKIPO search, WIPO Global Brand Database). Search methodology for Class 25 documented.</t>
  </si>
  <si>
    <t xml:space="preserve">Execute searches on final 3-5 candidates. 30 min per name.</t>
  </si>
  <si>
    <t xml:space="preserve">1A.05</t>
  </si>
  <si>
    <t xml:space="preserve">Check .com domain availability for top candidates</t>
  </si>
  <si>
    <t xml:space="preserve">Domain screening checklist: .com (mandatory), .co.uk, .fr, .co, .run (alternatives). Namecheap/Google Domains for availability. Estimated costs per TLD.</t>
  </si>
  <si>
    <t xml:space="preserve">Execute domain checks on final 3-5. Instant.</t>
  </si>
  <si>
    <t xml:space="preserve">1A.06</t>
  </si>
  <si>
    <t xml:space="preserve">Check social media handle availability (IG, TikTok, Strava, YouTube, X)</t>
  </si>
  <si>
    <t xml:space="preserve">Namechk.com methodology documented. Priority: Instagram &gt; TikTok &gt; Strava &gt; YouTube &gt; X &gt; Facebook.</t>
  </si>
  <si>
    <t xml:space="preserve">Execute handle checks on final 3-5. 10 min per name.</t>
  </si>
  <si>
    <t xml:space="preserve">1A.07</t>
  </si>
  <si>
    <t xml:space="preserve">Test top 3 candidates with 5-10 target trail runners</t>
  </si>
  <si>
    <t xml:space="preserve">Needs Execution</t>
  </si>
  <si>
    <t xml:space="preserve">Testing script ready: show name, ask 'What does this make you think of?', rate 1-5 premium feel, rate 1-5 memorability. Use P0D interview contacts.</t>
  </si>
  <si>
    <t xml:space="preserve">Recruit 5-10 runners. Test via DM or short Zoom. 1-2 hours.</t>
  </si>
  <si>
    <t xml:space="preserve">1A.08</t>
  </si>
  <si>
    <t xml:space="preserve">Select final brand name</t>
  </si>
  <si>
    <t xml:space="preserve">Decision criteria documented: must pass trademark, domain, handles, pronunciation (EN+FR), SMILE score, and runner testing.</t>
  </si>
  <si>
    <t xml:space="preserve">Founder makes final selection after testing.</t>
  </si>
  <si>
    <t xml:space="preserve">1A.09</t>
  </si>
  <si>
    <t xml:space="preserve">Secure .com + .co.uk + .fr domains immediately</t>
  </si>
  <si>
    <t xml:space="preserve">~$40</t>
  </si>
  <si>
    <t xml:space="preserve">Purchase guide: Namecheap or Google Domains. Auto-renew enabled. Privacy protection enabled.</t>
  </si>
  <si>
    <t xml:space="preserve">Purchase within 1 hour of name selection. ~$40 total.</t>
  </si>
  <si>
    <t xml:space="preserve">1A.10</t>
  </si>
  <si>
    <t xml:space="preserve">Secure social media handles on all platforms</t>
  </si>
  <si>
    <t xml:space="preserve">Handle registration guide: IG, TikTok, Strava Club, YouTube, X, Facebook Page. Set profile to brand color + 'Coming Soon' bio.</t>
  </si>
  <si>
    <t xml:space="preserve">Register within 1 hour of name selection. Free.</t>
  </si>
  <si>
    <t xml:space="preserve">P1B: TRADEMARK &amp; DOMAIN PROTECTION (Week 2)</t>
  </si>
  <si>
    <t xml:space="preserve">1B.01</t>
  </si>
  <si>
    <t xml:space="preserve">P1B</t>
  </si>
  <si>
    <t xml:space="preserve">File EUIPO trademark application (Class 25)</t>
  </si>
  <si>
    <t xml:space="preserve">€850</t>
  </si>
  <si>
    <t xml:space="preserve">Filing guide in P1B doc: EUIPO e-filing portal URL, Class 25 specification of goods wording, payment process, expected timeline 4-6 months.</t>
  </si>
  <si>
    <t xml:space="preserve">File online at euipo.europa.eu. 1 hour. €850.</t>
  </si>
  <si>
    <t xml:space="preserve">1B.02</t>
  </si>
  <si>
    <t xml:space="preserve">File UKIPO trademark application (Class 25)</t>
  </si>
  <si>
    <t xml:space="preserve">£170</t>
  </si>
  <si>
    <t xml:space="preserve">Filing guide: UKIPO online portal URL, identical specification of goods, payment. File BEFORE April 2026 to avoid ~20% fee increase.</t>
  </si>
  <si>
    <t xml:space="preserve">File at gov.uk/register-a-trademark. 45 min. £170.</t>
  </si>
  <si>
    <t xml:space="preserve">1B.03</t>
  </si>
  <si>
    <t xml:space="preserve">Draft specification of goods for Class 25</t>
  </si>
  <si>
    <t xml:space="preserve">Pre-drafted specification: 'Clothing, namely running shorts, compression shorts, athletic shorts, trail running shorts; all included in Class 25.' Ready to copy-paste into both EUIPO and UKIPO applications.</t>
  </si>
  <si>
    <t xml:space="preserve">1B.04</t>
  </si>
  <si>
    <t xml:space="preserve">Register .com + defensive domains (.co.uk, .fr, .co, .run)</t>
  </si>
  <si>
    <t xml:space="preserve">~$40-75</t>
  </si>
  <si>
    <t xml:space="preserve">Domain registrar comparison (Namecheap vs Google Domains vs Porkbun). Auto-renew + WHOIS privacy checklist.</t>
  </si>
  <si>
    <t xml:space="preserve">Execute after name finalized. ~$40-75.</t>
  </si>
  <si>
    <t xml:space="preserve">1B.05</t>
  </si>
  <si>
    <t xml:space="preserve">Set up domain forwarding to Shopify store (when ready)</t>
  </si>
  <si>
    <t xml:space="preserve">Shopify DNS configuration guide: A record + CNAME record settings. Shopify custom domain connection walkthrough.</t>
  </si>
  <si>
    <t xml:space="preserve">Configure when Shopify store is built (P1E). 15 min.</t>
  </si>
  <si>
    <t xml:space="preserve">1B.06</t>
  </si>
  <si>
    <t xml:space="preserve">Professional clearance search (Scenario B only)</t>
  </si>
  <si>
    <t xml:space="preserve">$1K-2.5K</t>
  </si>
  <si>
    <t xml:space="preserve">Recommended firms: CompuMark (Corsearch), Corsearch, TrademarkNow. Scope: EU + UK + US identical/similar marks in Class 25.</t>
  </si>
  <si>
    <t xml:space="preserve">Scenario B only. Commission after name selection. 5-10 business days.</t>
  </si>
  <si>
    <t xml:space="preserve">1B.07</t>
  </si>
  <si>
    <t xml:space="preserve">File USPTO trademark (Scenario B only — defer for Scenario A)</t>
  </si>
  <si>
    <t xml:space="preserve">$1.5K-2.5K</t>
  </si>
  <si>
    <t xml:space="preserve">US attorney requirement documented. Recommended: LegalZoom ($599+), Tru Earth IP, or direct US trademark attorney ($1,500-2,500 including gov't fee).</t>
  </si>
  <si>
    <t xml:space="preserve">Scenario B: File within 6 months using Paris Convention priority. Scenario A: Defer until US launch.</t>
  </si>
  <si>
    <t xml:space="preserve">P1C: UK LTD INCORPORATION &amp; BANKING (Weeks 1-2)</t>
  </si>
  <si>
    <t xml:space="preserve">1C.01</t>
  </si>
  <si>
    <t xml:space="preserve">P1C</t>
  </si>
  <si>
    <t xml:space="preserve">Form UK Limited Company via formation agent</t>
  </si>
  <si>
    <t xml:space="preserve">£100-200</t>
  </si>
  <si>
    <t xml:space="preserve">Step-by-step guide: Seed Formations / 1st Formations / Rapid Formations. Package includes: company registration, registered office address (London), service address, digital docs. Pakistani citizen can form 100% remotely.</t>
  </si>
  <si>
    <t xml:space="preserve">Register online. 24 hours to incorporate. £100-200.</t>
  </si>
  <si>
    <t xml:space="preserve">1C.02</t>
  </si>
  <si>
    <t xml:space="preserve">Complete Companies House ID verification</t>
  </si>
  <si>
    <t xml:space="preserve">GOV.UK One Login App: biometric passport scan. Or via Authorised Corporate Service Provider if passport scan fails.</t>
  </si>
  <si>
    <t xml:space="preserve">Complete within 1 week of formation. Required since Nov 2025.</t>
  </si>
  <si>
    <t xml:space="preserve">1C.03</t>
  </si>
  <si>
    <t xml:space="preserve">Open Wise Business account (GBP + EUR)</t>
  </si>
  <si>
    <t xml:space="preserve">£45-50</t>
  </si>
  <si>
    <t xml:space="preserve">Wise Business guide: sign up at wise.com/business, upload passport + proof of address, provide UK company number. Provides GBP sort code + account number + EUR IBAN. No monthly fees. Multi-currency.</t>
  </si>
  <si>
    <t xml:space="preserve">Apply within 48 hours of formation. 1-3 business days to verify.</t>
  </si>
  <si>
    <t xml:space="preserve">1C.04</t>
  </si>
  <si>
    <t xml:space="preserve">Register for UK Corporation Tax with HMRC</t>
  </si>
  <si>
    <t xml:space="preserve">Must register within 3 months of 'starting to trade.' Online via gov.uk. Requires company UTR (Unique Taxpayer Reference).</t>
  </si>
  <si>
    <t xml:space="preserve">Register online. 1-2 weeks for UTR to arrive by post.</t>
  </si>
  <si>
    <t xml:space="preserve">1C.05</t>
  </si>
  <si>
    <t xml:space="preserve">Register for UK VAT with HMRC</t>
  </si>
  <si>
    <t xml:space="preserve">Required BEFORE first sale (overseas seller, no threshold). Online application via VAT1 form. Requires UK bank account details (Wise). 2-4 weeks for VAT number.</t>
  </si>
  <si>
    <t xml:space="preserve">Apply after Wise account opens. 2-4 weeks processing.</t>
  </si>
  <si>
    <t xml:space="preserve">1C.06</t>
  </si>
  <si>
    <t xml:space="preserve">Obtain UK EORI number</t>
  </si>
  <si>
    <t xml:space="preserve">Required for customs declarations. Apply via HMRC online. Free. Usually linked to VAT registration. Format: GB + VAT number + 000.</t>
  </si>
  <si>
    <t xml:space="preserve">Apply same time as VAT registration. Free.</t>
  </si>
  <si>
    <t xml:space="preserve">1C.07</t>
  </si>
  <si>
    <t xml:space="preserve">Engage UK accountant (non-resident director experience)</t>
  </si>
  <si>
    <t xml:space="preserve">£500-1,500/yr</t>
  </si>
  <si>
    <t xml:space="preserve">Accountant brief: non-UK resident director of UK Ltd, DTC e-commerce, Pakistan manufacturing, UK VAT returns (quarterly), annual Corporation Tax return, annual accounts. Recommend: SJD Accountancy, Crunch, or Mazuma for small DTC.</t>
  </si>
  <si>
    <t xml:space="preserve">Research and engage by Week 4. £500-1,500/year.</t>
  </si>
  <si>
    <t xml:space="preserve">1C.08</t>
  </si>
  <si>
    <t xml:space="preserve">Activate Shopify Payments using UK Ltd details</t>
  </si>
  <si>
    <t xml:space="preserve">Requires: UK Ltd company number, Wise Business bank details (sort code + account number), UK registered address, director details. 1.5% + 20p per transaction on Basic plan.</t>
  </si>
  <si>
    <t xml:space="preserve">Activate after Shopify store setup (P1E). 30 min.</t>
  </si>
  <si>
    <t xml:space="preserve">1C.09</t>
  </si>
  <si>
    <t xml:space="preserve">Register for EU IOSS (when ready for France/EU sales)</t>
  </si>
  <si>
    <t xml:space="preserve">€50-200/mo</t>
  </si>
  <si>
    <t xml:space="preserve">IOSS intermediary options: SimpleVAT, Taxually, Meridian Global Services. Required for collecting EU VAT at point of sale. Not needed until EU sales begin.</t>
  </si>
  <si>
    <t xml:space="preserve">Register 2-4 weeks before France launch. €50-200/month.</t>
  </si>
  <si>
    <t xml:space="preserve">P1D: VISUAL IDENTITY &amp; DESIGN SYSTEM (Week 3)</t>
  </si>
  <si>
    <t xml:space="preserve">1D.01</t>
  </si>
  <si>
    <t xml:space="preserve">P1D</t>
  </si>
  <si>
    <t xml:space="preserve">Define brand aesthetic zone and color palette direction</t>
  </si>
  <si>
    <t xml:space="preserve">Aesthetic analysis in P1 Playbook: earth-tone/authentic zone recommended for $53 price point. Color direction: deep slate + warm sand/sage + distinctive accent (burnt orange or teal).</t>
  </si>
  <si>
    <t xml:space="preserve">1D.02</t>
  </si>
  <si>
    <t xml:space="preserve">Create visual mood board (Midjourney + Pinterest)</t>
  </si>
  <si>
    <t xml:space="preserve">$10-50</t>
  </si>
  <si>
    <t xml:space="preserve">Mood board direction documented in P1D Designer Brief. Reference brands, aesthetic zone, color direction, anti-references all specified. Brief ready to send with Midjourney prompts.</t>
  </si>
  <si>
    <t xml:space="preserve">Create Midjourney account + Pinterest board. 2-3 hours. $10.</t>
  </si>
  <si>
    <t xml:space="preserve">1D.03</t>
  </si>
  <si>
    <t xml:space="preserve">Write designer brief with specifications</t>
  </si>
  <si>
    <t xml:space="preserve">DELIVERED: P1D_Designer_Brief.md — complete ready-to-send brief with all specs, 4 reference brands, technical requirements, Scenario A/B vendor recommendations.</t>
  </si>
  <si>
    <t xml:space="preserve">1D.04</t>
  </si>
  <si>
    <t xml:space="preserve">Commission logo + brand identity design</t>
  </si>
  <si>
    <t xml:space="preserve">$300-3,000</t>
  </si>
  <si>
    <t xml:space="preserve">DELIVERED: Full designer brief ready to copy-paste to Fiverr/99designs/Dribbble. Includes deliverables list, aesthetic direction, technical specs, anti-references, budget tiers.</t>
  </si>
  <si>
    <t xml:space="preserve">Commission after name finalized. 5-14 days turnaround.</t>
  </si>
  <si>
    <t xml:space="preserve">1D.05</t>
  </si>
  <si>
    <t xml:space="preserve">Select typography (free Google Fonts or paid)</t>
  </si>
  <si>
    <t xml:space="preserve">$0-150</t>
  </si>
  <si>
    <t xml:space="preserve">Font recommendations documented: Inter, DM Sans, Plus Jakarta Sans, Manrope (free Google Fonts). Paid: Aktiv Grotesk ($50-150).</t>
  </si>
  <si>
    <t xml:space="preserve">Select alongside logo development. Free if Google Fonts.</t>
  </si>
  <si>
    <t xml:space="preserve">1D.06</t>
  </si>
  <si>
    <t xml:space="preserve">Create brand guidelines document</t>
  </si>
  <si>
    <t xml:space="preserve">$0-500</t>
  </si>
  <si>
    <t xml:space="preserve">Brand guidelines template structure documented in designer brief. Designer delivers as part of identity package or founder creates from deliverables.</t>
  </si>
  <si>
    <t xml:space="preserve">Delivered by designer or created from their deliverables. 2-4 hours DIY.</t>
  </si>
  <si>
    <t xml:space="preserve">1D.07</t>
  </si>
  <si>
    <t xml:space="preserve">Design social media templates (IG, TikTok, email header)</t>
  </si>
  <si>
    <t xml:space="preserve">$0-200</t>
  </si>
  <si>
    <t xml:space="preserve">Social media template specifications documented: IG feed, IG story, TikTok thumb, email header sizes. Canva workflow for DIY creation. 3-4 hours.</t>
  </si>
  <si>
    <t xml:space="preserve">Create in Canva (free) using brand guidelines. 3-4 hours.</t>
  </si>
  <si>
    <t xml:space="preserve">P1E: SHOPIFY STORE SETUP &amp; CONFIGURATION (Weeks 3-4)</t>
  </si>
  <si>
    <t xml:space="preserve">1E.01</t>
  </si>
  <si>
    <t xml:space="preserve">P1E</t>
  </si>
  <si>
    <t xml:space="preserve">Sign up for Shopify ($1/mo for 3 months promo)</t>
  </si>
  <si>
    <t xml:space="preserve">$3</t>
  </si>
  <si>
    <t xml:space="preserve">Shopify signup guide: use $1/month promotional link. Select Basic plan. Provides full store + Shopify Markets.</t>
  </si>
  <si>
    <t xml:space="preserve">Sign up at shopify.com. 10 min. $1 first month.</t>
  </si>
  <si>
    <t xml:space="preserve">1E.02</t>
  </si>
  <si>
    <t xml:space="preserve">Install and configure theme (Dawn free or Impulse $380)</t>
  </si>
  <si>
    <t xml:space="preserve">$0-380</t>
  </si>
  <si>
    <t xml:space="preserve">Theme comparison documented: Dawn (free) vs Fabric (free) vs Impulse ($380) vs Prestige ($350). Recommendation by scenario.</t>
  </si>
  <si>
    <t xml:space="preserve">Install theme. Customize with brand colors + logo. 4-8 hours.</t>
  </si>
  <si>
    <t xml:space="preserve">1E.03</t>
  </si>
  <si>
    <t xml:space="preserve">Configure Shopify Markets (UK + EU + US zones)</t>
  </si>
  <si>
    <t xml:space="preserve">Shopify Markets configuration in P1E doc: 3 markets (UK/EU/US), currency rounding, local payment methods.</t>
  </si>
  <si>
    <t xml:space="preserve">Configure in Settings → Markets. 1-2 hours.</t>
  </si>
  <si>
    <t xml:space="preserve">1E.04</t>
  </si>
  <si>
    <t xml:space="preserve">Set up product structure (Outer + Liner + System Bundle)</t>
  </si>
  <si>
    <t xml:space="preserve">DELIVERED: P1E doc has complete product copy for 4 products (Outer, Liner, System, Double Liner) with titles, descriptions, SEO titles, tags, variant structures.</t>
  </si>
  <si>
    <t xml:space="preserve">Create products after product photos exist. 2-3 hours.</t>
  </si>
  <si>
    <t xml:space="preserve">1E.05</t>
  </si>
  <si>
    <t xml:space="preserve">Install essential free apps (Klaviyo, Judge.me, Kiwi Size, Shopify Bundles)</t>
  </si>
  <si>
    <t xml:space="preserve">DELIVERED: P1E doc has full app installation checklist with 7 free essential apps and upgrade paths.</t>
  </si>
  <si>
    <t xml:space="preserve">Install from Shopify App Store. 1-2 hours for all.</t>
  </si>
  <si>
    <t xml:space="preserve">1E.06</t>
  </si>
  <si>
    <t xml:space="preserve">Install Meta Pixel + TikTok Pixel + GA4</t>
  </si>
  <si>
    <t xml:space="preserve">Pixel setup guide from P0E.09: Meta Pixel via FB &amp; IG sales channel, TikTok Pixel via TikTok app, GA4 via Measurement ID in Preferences.</t>
  </si>
  <si>
    <t xml:space="preserve">Install same day as store setup. 30-60 min.</t>
  </si>
  <si>
    <t xml:space="preserve">1E.07</t>
  </si>
  <si>
    <t xml:space="preserve">Configure shipping zones and rates</t>
  </si>
  <si>
    <t xml:space="preserve">Shipping zones and rates configured in P1E doc: UK free &gt;£50, UK £3.99, EU £5.99-7.99, express rates.</t>
  </si>
  <si>
    <t xml:space="preserve">Configure in Settings → Shipping. 1 hour.</t>
  </si>
  <si>
    <t xml:space="preserve">1E.08</t>
  </si>
  <si>
    <t xml:space="preserve">Configure UK VAT collection at checkout</t>
  </si>
  <si>
    <t xml:space="preserve">UK VAT configuration documented: 20% standard, prices include tax, Shopify auto-calculates.</t>
  </si>
  <si>
    <t xml:space="preserve">Configure in Settings → Taxes. 30 min. Requires VAT number.</t>
  </si>
  <si>
    <t xml:space="preserve">1E.09</t>
  </si>
  <si>
    <t xml:space="preserve">Connect Wise Business bank account to Shopify Payments</t>
  </si>
  <si>
    <t xml:space="preserve">Shopify Payments activation: Settings → Payments → Shopify Payments → enter UK Ltd details + Wise sort code + account number.</t>
  </si>
  <si>
    <t xml:space="preserve">Activate after Wise account verified. 15 min.</t>
  </si>
  <si>
    <t xml:space="preserve">1E.10</t>
  </si>
  <si>
    <t xml:space="preserve">Build pre-launch landing page (from P0E copy)</t>
  </si>
  <si>
    <t xml:space="preserve">Pre-launch landing page copy already written in P0E. Transfer instructions in P1E doc.</t>
  </si>
  <si>
    <t xml:space="preserve">Build using P0E wireframe + copy. 3-4 hours.</t>
  </si>
  <si>
    <t xml:space="preserve">1E.11</t>
  </si>
  <si>
    <t xml:space="preserve">Connect custom domain to Shopify</t>
  </si>
  <si>
    <t xml:space="preserve">DNS configuration: add A record pointing to Shopify IP, CNAME for www subdomain. Verify SSL certificate auto-provisioning.</t>
  </si>
  <si>
    <t xml:space="preserve">Configure after domain purchased. 15 min + 24-48 hours DNS propagation.</t>
  </si>
  <si>
    <t xml:space="preserve">1E.12</t>
  </si>
  <si>
    <t xml:space="preserve">Install French translation (Translate &amp; Adapt or Weglot)</t>
  </si>
  <si>
    <t xml:space="preserve">$0-25/mo</t>
  </si>
  <si>
    <t xml:space="preserve">Translation approach documented: Translate &amp; Adapt (free, Scenario A) vs Weglot ($15-25/mo, Scenario B). French translator brief ($50-100).</t>
  </si>
  <si>
    <t xml:space="preserve">Install after English site is complete. Freelance French translator for product copy ($50-100).</t>
  </si>
  <si>
    <t xml:space="preserve">P1F: CONTENT STRATEGY &amp; COMMUNITY (Weeks 3-12)</t>
  </si>
  <si>
    <t xml:space="preserve">1F.01</t>
  </si>
  <si>
    <t xml:space="preserve">P1F</t>
  </si>
  <si>
    <t xml:space="preserve">Create 12-week pre-launch content calendar</t>
  </si>
  <si>
    <t xml:space="preserve">12-week calendar in P1F doc: Weeks 1-4 (Who We Are), 5-8 (What We're Building), 9-10 (Join Us), 11-12 (It's Coming). Platform × frequency matrix. Content theme per week.</t>
  </si>
  <si>
    <t xml:space="preserve">1F.02</t>
  </si>
  <si>
    <t xml:space="preserve">Set up Instagram business account + initial content</t>
  </si>
  <si>
    <t xml:space="preserve">IG setup guide with bio template, link-in-bio tool, 9-grid launch plan, brand colors application documented in P1F Content Strategy.</t>
  </si>
  <si>
    <t xml:space="preserve">Set up after handles secured. Post grid within Week 3. 2-3 hours.</t>
  </si>
  <si>
    <t xml:space="preserve">1F.03</t>
  </si>
  <si>
    <t xml:space="preserve">Set up TikTok business account + first 3 videos</t>
  </si>
  <si>
    <t xml:space="preserve">TikTok content guide with 3 video concepts (phone problem, factory BTS, founder story). CapCut editing workflow.</t>
  </si>
  <si>
    <t xml:space="preserve">Set up + film 3 videos. 3-4 hours. Post Week 3-4.</t>
  </si>
  <si>
    <t xml:space="preserve">1F.04</t>
  </si>
  <si>
    <t xml:space="preserve">Create Strava brand club</t>
  </si>
  <si>
    <t xml:space="preserve">Strava club setup instructions: name, description, first challenge concept. 15 min task.</t>
  </si>
  <si>
    <t xml:space="preserve">Create on strava.com. 15 min. Free.</t>
  </si>
  <si>
    <t xml:space="preserve">1F.05</t>
  </si>
  <si>
    <t xml:space="preserve">Write 5 SEO blog posts (long-tail trail running keywords)</t>
  </si>
  <si>
    <t xml:space="preserve">DELIVERED: P1F_Blog_Posts_Complete.md — ALL 5 SEO articles written in full (~9,000 words total). Ready to publish on Shopify blog.</t>
  </si>
  <si>
    <t xml:space="preserve">Write 1 post per week starting Week 4. 3-4 hours each. Publish on Shopify blog.</t>
  </si>
  <si>
    <t xml:space="preserve">1F.06</t>
  </si>
  <si>
    <t xml:space="preserve">Extend Klaviyo sequence from 5 to 12 emails</t>
  </si>
  <si>
    <t xml:space="preserve">DELIVERED: P1F_Content_Strategy_Execution.md has complete outlines for emails 6-12 with subject lines, preview text, body direction, and CTAs.</t>
  </si>
  <si>
    <t xml:space="preserve">Write 7 additional emails. 30-45 min each. Build in Klaviyo flows.</t>
  </si>
  <si>
    <t xml:space="preserve">1F.07</t>
  </si>
  <si>
    <t xml:space="preserve">Create ambassador recruitment page + application form</t>
  </si>
  <si>
    <t xml:space="preserve">Ambassador application form questions documented: running background, social following, location, size, why this brand. Tally form + Shopify page workflow.</t>
  </si>
  <si>
    <t xml:space="preserve">Build Tally form + Shopify page. 2 hours.</t>
  </si>
  <si>
    <t xml:space="preserve">1F.08</t>
  </si>
  <si>
    <t xml:space="preserve">Recruit 20-50 founding ambassadors</t>
  </si>
  <si>
    <t xml:space="preserve">$530-1,060 in product</t>
  </si>
  <si>
    <t xml:space="preserve">Recruitment channels: Instagram DMs to trail runners with 1K-10K followers, Reddit community members from P0D, Strava club members, running club leaders. Target mix: 50% UK, 30% EU, 20% US.</t>
  </si>
  <si>
    <t xml:space="preserve">Begin outreach Week 9. Ongoing through launch.</t>
  </si>
  <si>
    <t xml:space="preserve">1F.09</t>
  </si>
  <si>
    <t xml:space="preserve">Create Pakistan factory behind-the-scenes content</t>
  </si>
  <si>
    <t xml:space="preserve">DELIVERED: P1F doc has 20-shot factory BTS shot list with framing notes, duration, and why each shot is needed.</t>
  </si>
  <si>
    <t xml:space="preserve">Send shot list to factory. They film and send via WhatsApp. 1-2 hours their time.</t>
  </si>
  <si>
    <t xml:space="preserve">1F.10</t>
  </si>
  <si>
    <t xml:space="preserve">Send shot list to factory for BTS content</t>
  </si>
  <si>
    <t xml:space="preserve">Detailed shot list in P1F doc: 20 specific shots covering fabric, sewing, QC, snaps, DWR, packaging. Each with framing notes and what to show.</t>
  </si>
  <si>
    <t xml:space="preserve">P1G: LEGAL COMPLIANCE &amp; REGULATORY (Weeks 1-4)</t>
  </si>
  <si>
    <t xml:space="preserve">1G.01</t>
  </si>
  <si>
    <t xml:space="preserve">P1G</t>
  </si>
  <si>
    <t xml:space="preserve">Confirm PFC-free (C0) DWR with Pakistan manufacturer</t>
  </si>
  <si>
    <t xml:space="preserve">DELIVERED: P1G doc has ready-to-send factory DWR confirmation email with 5 specific questions. Copy-paste and send TODAY.</t>
  </si>
  <si>
    <t xml:space="preserve">Email factory TODAY asking for DWR chemistry confirmation + SDS. CRITICAL.</t>
  </si>
  <si>
    <t xml:space="preserve">1G.02</t>
  </si>
  <si>
    <t xml:space="preserve">Commission REACH testing at Pakistan lab</t>
  </si>
  <si>
    <t xml:space="preserve">£400-1,500</t>
  </si>
  <si>
    <t xml:space="preserve">DELIVERED: P1G doc has ready-to-send REACH testing request letter with test specifications, sample list, and lab options.</t>
  </si>
  <si>
    <t xml:space="preserve">Send fabric swatches to lab. 2-4 weeks turnaround. £400-1,500.</t>
  </si>
  <si>
    <t xml:space="preserve">1G.03</t>
  </si>
  <si>
    <t xml:space="preserve">Design dual-language textile labels (EN + FR)</t>
  </si>
  <si>
    <t xml:space="preserve">£250-500/yr</t>
  </si>
  <si>
    <t xml:space="preserve">DELIVERED: P1G doc has complete textile label specification (dual EN/FR) for outer short and liner, with GINETEX and Triman requirements.</t>
  </si>
  <si>
    <t xml:space="preserve">Design label artwork. Apply for GINETEX licence. Send to factory for production. £250-500/year.</t>
  </si>
  <si>
    <t xml:space="preserve">1G.04</t>
  </si>
  <si>
    <t xml:space="preserve">Get product liability insurance (£1M minimum)</t>
  </si>
  <si>
    <t xml:space="preserve">£60-150/yr</t>
  </si>
  <si>
    <t xml:space="preserve">Insurance guide: combined public + product liability. Providers: Hiscox (online quote, 5 min), Simply Business, AXA. As importer, your UK Ltd is treated as manufacturer under UK law.</t>
  </si>
  <si>
    <t xml:space="preserve">Get online quote from Hiscox. Purchase before first sale. £60-150/year.</t>
  </si>
  <si>
    <t xml:space="preserve">1G.05</t>
  </si>
  <si>
    <t xml:space="preserve">Draft privacy policy + install cookie consent</t>
  </si>
  <si>
    <t xml:space="preserve">£40/yr + $0-15/mo</t>
  </si>
  <si>
    <t xml:space="preserve">DELIVERED: P1G doc has complete privacy policy draft, cookie consent setup guide (CookieYes), and ICO registration walkthrough.</t>
  </si>
  <si>
    <t xml:space="preserve">Generate policy. Install CookieYes on Shopify. Register ICO. 2-3 hours total.</t>
  </si>
  <si>
    <t xml:space="preserve">1G.06</t>
  </si>
  <si>
    <t xml:space="preserve">Draft terms &amp; conditions and returns policy</t>
  </si>
  <si>
    <t xml:space="preserve">DELIVERED: P1G doc has complete T&amp;Cs draft and returns policy page copy, covering 14-day cooling-off, 30-day returns, faulty goods, EU 2-year guarantee.</t>
  </si>
  <si>
    <t xml:space="preserve">Generate via Termly. Customize returns policy. 1-2 hours. Free.</t>
  </si>
  <si>
    <t xml:space="preserve">1G.07</t>
  </si>
  <si>
    <t xml:space="preserve">Register with Refashion (France textile EPR)</t>
  </si>
  <si>
    <t xml:space="preserve">€105/yr</t>
  </si>
  <si>
    <t xml:space="preserve">DELIVERED: P1G doc has Refashion registration step-by-step with fee breakdown (EUR 105/year).</t>
  </si>
  <si>
    <t xml:space="preserve">Register before first France sale. Online process. 30 min. €105/year.</t>
  </si>
  <si>
    <t xml:space="preserve">1G.08</t>
  </si>
  <si>
    <t xml:space="preserve">Ensure email marketing GDPR/PECR compliance</t>
  </si>
  <si>
    <t xml:space="preserve">Klaviyo GDPR configuration documented: double opt-in for EU, explicit consent for France, unsubscribe requirement.</t>
  </si>
  <si>
    <t xml:space="preserve">Configure Klaviyo double opt-in for EU contacts. 15 min.</t>
  </si>
  <si>
    <t xml:space="preserve">P1 BRAND DEVELOPMENT — DASHBOARD</t>
  </si>
  <si>
    <t xml:space="preserve">Total</t>
  </si>
  <si>
    <t xml:space="preserve">Needs Validation</t>
  </si>
  <si>
    <t xml:space="preserve">Complete %</t>
  </si>
  <si>
    <t xml:space="preserve">P1A: Brand Naming</t>
  </si>
  <si>
    <t xml:space="preserve">60%</t>
  </si>
  <si>
    <t xml:space="preserve">P1B: Trademark &amp; Domain</t>
  </si>
  <si>
    <t xml:space="preserve">14%</t>
  </si>
  <si>
    <t xml:space="preserve">P1C: UK Ltd Incorporation</t>
  </si>
  <si>
    <t xml:space="preserve">0%</t>
  </si>
  <si>
    <t xml:space="preserve">P1D: Visual Identity</t>
  </si>
  <si>
    <t xml:space="preserve">29%</t>
  </si>
  <si>
    <t xml:space="preserve">P1E: Shopify Setup</t>
  </si>
  <si>
    <t xml:space="preserve">P1F: Content Strategy</t>
  </si>
  <si>
    <t xml:space="preserve">20%</t>
  </si>
  <si>
    <t xml:space="preserve">P1G: Legal Compliance</t>
  </si>
  <si>
    <t xml:space="preserve">TOTALS</t>
  </si>
  <si>
    <t xml:space="preserve">GAP ANALYSIS</t>
  </si>
  <si>
    <t xml:space="preserve">GAP 1 (RESOLVED): Brand name candidates not generated → P1A.02 now includes 50 candidates in P1A Name Candidates doc.</t>
  </si>
  <si>
    <t xml:space="preserve">GAP 2 (RESOLVED): Trademark search methodology not specified → P1A.04 now includes step-by-step with exact EUIPO/UKIPO/WIPO URLs.</t>
  </si>
  <si>
    <t xml:space="preserve">GAP 3 (RESOLVED): UK Ltd formation unclear for Pakistani citizen → P1C.01-02 now has complete remote formation guide with ID verification.</t>
  </si>
  <si>
    <t xml:space="preserve">GAP 4 (RESOLVED): Shopify plan pricing outdated → P1E.01 updated: Basic $39/mo ($29 annual), $1/mo promo for 3 months available.</t>
  </si>
  <si>
    <t xml:space="preserve">GAP 5 (RESOLVED): Content calendar was concept-only → P1F.01 now has week-by-week themes + P1F.05 has 5 blog post outlines.</t>
  </si>
  <si>
    <t xml:space="preserve">GAP 6 (RESOLVED): PFAS/DWR compliance urgency not flagged → P1G.01 now marked CRITICAL with France Jan 2026 ban detail.</t>
  </si>
  <si>
    <t xml:space="preserve">GAP 7 (RESOLVED): Factory BTS content had no shot list → P1F.10 now includes 20-shot detailed shot list for factory.</t>
  </si>
  <si>
    <t xml:space="preserve">GAP 8 (RESOLVED): Ambassador program lacked structure → P1F.07-08 now includes application form, recruitment channels, and product budget.</t>
  </si>
  <si>
    <t xml:space="preserve">ALL 8 IDENTIFIED GAPS RESOLVED. Zero gaps remaining in P1.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</si>
</sst>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BF5600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2"/>
      <color rgb="FF1B2A4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5A88"/>
        <bgColor rgb="FF666666"/>
      </patternFill>
    </fill>
    <fill>
      <patternFill patternType="solid">
        <fgColor rgb="FFFFFFFF"/>
        <bgColor rgb="FFF5F5F5"/>
      </patternFill>
    </fill>
    <fill>
      <patternFill patternType="solid">
        <fgColor rgb="FFC6EFCE"/>
        <bgColor rgb="FFCCFFFF"/>
      </patternFill>
    </fill>
    <fill>
      <patternFill patternType="solid">
        <fgColor rgb="FFF5F5F5"/>
        <bgColor rgb="FFFFFFFF"/>
      </patternFill>
    </fill>
    <fill>
      <patternFill patternType="solid">
        <fgColor rgb="FFFBE5D6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B2A4A"/>
      </top>
      <bottom style="medium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CAF50"/>
      <rgbColor rgb="FF003300"/>
      <rgbColor rgb="FF1A1A1A"/>
      <rgbColor rgb="FFBF5600"/>
      <rgbColor rgb="FF993366"/>
      <rgbColor rgb="FF2E5A88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G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44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7" min="6" style="1" width="4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5"/>
      <c r="C5" s="5"/>
      <c r="D5" s="5"/>
      <c r="E5" s="5"/>
      <c r="F5" s="5"/>
      <c r="G5" s="5"/>
    </row>
    <row r="6" customFormat="false" ht="42.75" hidden="false" customHeight="true" outlineLevel="0" collapsed="false">
      <c r="A6" s="6" t="s">
        <v>10</v>
      </c>
      <c r="B6" s="6" t="s">
        <v>11</v>
      </c>
      <c r="C6" s="6" t="s">
        <v>12</v>
      </c>
      <c r="D6" s="6" t="s">
        <v>13</v>
      </c>
      <c r="E6" s="7" t="s">
        <v>14</v>
      </c>
      <c r="F6" s="6" t="s">
        <v>15</v>
      </c>
      <c r="G6" s="6"/>
    </row>
    <row r="7" customFormat="false" ht="53.25" hidden="false" customHeight="true" outlineLevel="0" collapsed="false">
      <c r="A7" s="8" t="s">
        <v>16</v>
      </c>
      <c r="B7" s="8" t="s">
        <v>11</v>
      </c>
      <c r="C7" s="8" t="s">
        <v>17</v>
      </c>
      <c r="D7" s="8" t="s">
        <v>13</v>
      </c>
      <c r="E7" s="7" t="s">
        <v>14</v>
      </c>
      <c r="F7" s="8" t="s">
        <v>18</v>
      </c>
      <c r="G7" s="8" t="s">
        <v>19</v>
      </c>
    </row>
    <row r="8" customFormat="false" ht="42.75" hidden="false" customHeight="true" outlineLevel="0" collapsed="false">
      <c r="A8" s="6" t="s">
        <v>20</v>
      </c>
      <c r="B8" s="6" t="s">
        <v>11</v>
      </c>
      <c r="C8" s="6" t="s">
        <v>21</v>
      </c>
      <c r="D8" s="6" t="s">
        <v>13</v>
      </c>
      <c r="E8" s="7" t="s">
        <v>14</v>
      </c>
      <c r="F8" s="6" t="s">
        <v>22</v>
      </c>
      <c r="G8" s="6" t="s">
        <v>23</v>
      </c>
    </row>
    <row r="9" customFormat="false" ht="42.75" hidden="false" customHeight="true" outlineLevel="0" collapsed="false">
      <c r="A9" s="8" t="s">
        <v>24</v>
      </c>
      <c r="B9" s="8" t="s">
        <v>11</v>
      </c>
      <c r="C9" s="8" t="s">
        <v>25</v>
      </c>
      <c r="D9" s="8" t="s">
        <v>13</v>
      </c>
      <c r="E9" s="7" t="s">
        <v>14</v>
      </c>
      <c r="F9" s="8" t="s">
        <v>26</v>
      </c>
      <c r="G9" s="8" t="s">
        <v>27</v>
      </c>
    </row>
    <row r="10" customFormat="false" ht="42.75" hidden="false" customHeight="true" outlineLevel="0" collapsed="false">
      <c r="A10" s="6" t="s">
        <v>28</v>
      </c>
      <c r="B10" s="6" t="s">
        <v>11</v>
      </c>
      <c r="C10" s="6" t="s">
        <v>29</v>
      </c>
      <c r="D10" s="6" t="s">
        <v>13</v>
      </c>
      <c r="E10" s="7" t="s">
        <v>14</v>
      </c>
      <c r="F10" s="6" t="s">
        <v>30</v>
      </c>
      <c r="G10" s="6" t="s">
        <v>31</v>
      </c>
    </row>
    <row r="11" customFormat="false" ht="32.25" hidden="false" customHeight="true" outlineLevel="0" collapsed="false">
      <c r="A11" s="8" t="s">
        <v>32</v>
      </c>
      <c r="B11" s="8" t="s">
        <v>11</v>
      </c>
      <c r="C11" s="8" t="s">
        <v>33</v>
      </c>
      <c r="D11" s="8" t="s">
        <v>13</v>
      </c>
      <c r="E11" s="7" t="s">
        <v>14</v>
      </c>
      <c r="F11" s="8" t="s">
        <v>34</v>
      </c>
      <c r="G11" s="8" t="s">
        <v>35</v>
      </c>
    </row>
    <row r="12" customFormat="false" ht="32.25" hidden="false" customHeight="true" outlineLevel="0" collapsed="false">
      <c r="A12" s="6" t="s">
        <v>36</v>
      </c>
      <c r="B12" s="6" t="s">
        <v>11</v>
      </c>
      <c r="C12" s="6" t="s">
        <v>37</v>
      </c>
      <c r="D12" s="6" t="s">
        <v>13</v>
      </c>
      <c r="E12" s="9" t="s">
        <v>38</v>
      </c>
      <c r="F12" s="6" t="s">
        <v>39</v>
      </c>
      <c r="G12" s="6" t="s">
        <v>40</v>
      </c>
    </row>
    <row r="13" customFormat="false" ht="32.25" hidden="false" customHeight="true" outlineLevel="0" collapsed="false">
      <c r="A13" s="8" t="s">
        <v>41</v>
      </c>
      <c r="B13" s="8" t="s">
        <v>11</v>
      </c>
      <c r="C13" s="8" t="s">
        <v>42</v>
      </c>
      <c r="D13" s="8" t="s">
        <v>13</v>
      </c>
      <c r="E13" s="9" t="s">
        <v>38</v>
      </c>
      <c r="F13" s="8" t="s">
        <v>43</v>
      </c>
      <c r="G13" s="8" t="s">
        <v>44</v>
      </c>
    </row>
    <row r="14" customFormat="false" ht="21.75" hidden="false" customHeight="true" outlineLevel="0" collapsed="false">
      <c r="A14" s="6" t="s">
        <v>45</v>
      </c>
      <c r="B14" s="6" t="s">
        <v>11</v>
      </c>
      <c r="C14" s="6" t="s">
        <v>46</v>
      </c>
      <c r="D14" s="6" t="s">
        <v>47</v>
      </c>
      <c r="E14" s="9" t="s">
        <v>38</v>
      </c>
      <c r="F14" s="6" t="s">
        <v>48</v>
      </c>
      <c r="G14" s="6" t="s">
        <v>49</v>
      </c>
    </row>
    <row r="15" customFormat="false" ht="32.25" hidden="false" customHeight="true" outlineLevel="0" collapsed="false">
      <c r="A15" s="8" t="s">
        <v>50</v>
      </c>
      <c r="B15" s="8" t="s">
        <v>11</v>
      </c>
      <c r="C15" s="8" t="s">
        <v>51</v>
      </c>
      <c r="D15" s="8" t="s">
        <v>13</v>
      </c>
      <c r="E15" s="9" t="s">
        <v>38</v>
      </c>
      <c r="F15" s="8" t="s">
        <v>52</v>
      </c>
      <c r="G15" s="8" t="s">
        <v>53</v>
      </c>
    </row>
    <row r="16" customFormat="false" ht="15" hidden="false" customHeight="true" outlineLevel="0" collapsed="false">
      <c r="A16" s="5" t="s">
        <v>54</v>
      </c>
      <c r="B16" s="5"/>
      <c r="C16" s="5"/>
      <c r="D16" s="5"/>
      <c r="E16" s="5"/>
      <c r="F16" s="5"/>
      <c r="G16" s="5"/>
    </row>
    <row r="17" customFormat="false" ht="32.25" hidden="false" customHeight="true" outlineLevel="0" collapsed="false">
      <c r="A17" s="6" t="s">
        <v>55</v>
      </c>
      <c r="B17" s="6" t="s">
        <v>56</v>
      </c>
      <c r="C17" s="6" t="s">
        <v>57</v>
      </c>
      <c r="D17" s="6" t="s">
        <v>58</v>
      </c>
      <c r="E17" s="9" t="s">
        <v>38</v>
      </c>
      <c r="F17" s="6" t="s">
        <v>59</v>
      </c>
      <c r="G17" s="6" t="s">
        <v>60</v>
      </c>
    </row>
    <row r="18" customFormat="false" ht="32.25" hidden="false" customHeight="true" outlineLevel="0" collapsed="false">
      <c r="A18" s="8" t="s">
        <v>61</v>
      </c>
      <c r="B18" s="8" t="s">
        <v>56</v>
      </c>
      <c r="C18" s="8" t="s">
        <v>62</v>
      </c>
      <c r="D18" s="8" t="s">
        <v>63</v>
      </c>
      <c r="E18" s="9" t="s">
        <v>38</v>
      </c>
      <c r="F18" s="8" t="s">
        <v>64</v>
      </c>
      <c r="G18" s="8" t="s">
        <v>65</v>
      </c>
    </row>
    <row r="19" customFormat="false" ht="42.75" hidden="false" customHeight="true" outlineLevel="0" collapsed="false">
      <c r="A19" s="6" t="s">
        <v>66</v>
      </c>
      <c r="B19" s="6" t="s">
        <v>56</v>
      </c>
      <c r="C19" s="6" t="s">
        <v>67</v>
      </c>
      <c r="D19" s="6" t="s">
        <v>13</v>
      </c>
      <c r="E19" s="7" t="s">
        <v>14</v>
      </c>
      <c r="F19" s="6" t="s">
        <v>68</v>
      </c>
      <c r="G19" s="6"/>
    </row>
    <row r="20" customFormat="false" ht="32.25" hidden="false" customHeight="true" outlineLevel="0" collapsed="false">
      <c r="A20" s="8" t="s">
        <v>69</v>
      </c>
      <c r="B20" s="8" t="s">
        <v>56</v>
      </c>
      <c r="C20" s="8" t="s">
        <v>70</v>
      </c>
      <c r="D20" s="8" t="s">
        <v>71</v>
      </c>
      <c r="E20" s="9" t="s">
        <v>38</v>
      </c>
      <c r="F20" s="8" t="s">
        <v>72</v>
      </c>
      <c r="G20" s="8" t="s">
        <v>73</v>
      </c>
    </row>
    <row r="21" customFormat="false" ht="32.25" hidden="false" customHeight="true" outlineLevel="0" collapsed="false">
      <c r="A21" s="6" t="s">
        <v>74</v>
      </c>
      <c r="B21" s="6" t="s">
        <v>56</v>
      </c>
      <c r="C21" s="6" t="s">
        <v>75</v>
      </c>
      <c r="D21" s="6" t="s">
        <v>13</v>
      </c>
      <c r="E21" s="9" t="s">
        <v>38</v>
      </c>
      <c r="F21" s="6" t="s">
        <v>76</v>
      </c>
      <c r="G21" s="6" t="s">
        <v>77</v>
      </c>
    </row>
    <row r="22" customFormat="false" ht="32.25" hidden="false" customHeight="true" outlineLevel="0" collapsed="false">
      <c r="A22" s="8" t="s">
        <v>78</v>
      </c>
      <c r="B22" s="8" t="s">
        <v>56</v>
      </c>
      <c r="C22" s="8" t="s">
        <v>79</v>
      </c>
      <c r="D22" s="8" t="s">
        <v>80</v>
      </c>
      <c r="E22" s="9" t="s">
        <v>38</v>
      </c>
      <c r="F22" s="8" t="s">
        <v>81</v>
      </c>
      <c r="G22" s="8" t="s">
        <v>82</v>
      </c>
    </row>
    <row r="23" customFormat="false" ht="32.25" hidden="false" customHeight="true" outlineLevel="0" collapsed="false">
      <c r="A23" s="6" t="s">
        <v>83</v>
      </c>
      <c r="B23" s="6" t="s">
        <v>56</v>
      </c>
      <c r="C23" s="6" t="s">
        <v>84</v>
      </c>
      <c r="D23" s="6" t="s">
        <v>85</v>
      </c>
      <c r="E23" s="9" t="s">
        <v>38</v>
      </c>
      <c r="F23" s="6" t="s">
        <v>86</v>
      </c>
      <c r="G23" s="6" t="s">
        <v>87</v>
      </c>
    </row>
    <row r="24" customFormat="false" ht="15" hidden="false" customHeight="true" outlineLevel="0" collapsed="false">
      <c r="A24" s="5" t="s">
        <v>88</v>
      </c>
      <c r="B24" s="5"/>
      <c r="C24" s="5"/>
      <c r="D24" s="5"/>
      <c r="E24" s="5"/>
      <c r="F24" s="5"/>
      <c r="G24" s="5"/>
    </row>
    <row r="25" customFormat="false" ht="53.25" hidden="false" customHeight="true" outlineLevel="0" collapsed="false">
      <c r="A25" s="6" t="s">
        <v>89</v>
      </c>
      <c r="B25" s="6" t="s">
        <v>90</v>
      </c>
      <c r="C25" s="6" t="s">
        <v>91</v>
      </c>
      <c r="D25" s="6" t="s">
        <v>92</v>
      </c>
      <c r="E25" s="9" t="s">
        <v>38</v>
      </c>
      <c r="F25" s="6" t="s">
        <v>93</v>
      </c>
      <c r="G25" s="6" t="s">
        <v>94</v>
      </c>
    </row>
    <row r="26" customFormat="false" ht="32.25" hidden="false" customHeight="true" outlineLevel="0" collapsed="false">
      <c r="A26" s="8" t="s">
        <v>95</v>
      </c>
      <c r="B26" s="8" t="s">
        <v>90</v>
      </c>
      <c r="C26" s="8" t="s">
        <v>96</v>
      </c>
      <c r="D26" s="8" t="s">
        <v>13</v>
      </c>
      <c r="E26" s="9" t="s">
        <v>38</v>
      </c>
      <c r="F26" s="8" t="s">
        <v>97</v>
      </c>
      <c r="G26" s="8" t="s">
        <v>98</v>
      </c>
    </row>
    <row r="27" customFormat="false" ht="42.75" hidden="false" customHeight="true" outlineLevel="0" collapsed="false">
      <c r="A27" s="6" t="s">
        <v>99</v>
      </c>
      <c r="B27" s="6" t="s">
        <v>90</v>
      </c>
      <c r="C27" s="6" t="s">
        <v>100</v>
      </c>
      <c r="D27" s="6" t="s">
        <v>101</v>
      </c>
      <c r="E27" s="9" t="s">
        <v>38</v>
      </c>
      <c r="F27" s="6" t="s">
        <v>102</v>
      </c>
      <c r="G27" s="6" t="s">
        <v>103</v>
      </c>
    </row>
    <row r="28" customFormat="false" ht="32.25" hidden="false" customHeight="true" outlineLevel="0" collapsed="false">
      <c r="A28" s="8" t="s">
        <v>104</v>
      </c>
      <c r="B28" s="8" t="s">
        <v>90</v>
      </c>
      <c r="C28" s="8" t="s">
        <v>105</v>
      </c>
      <c r="D28" s="8" t="s">
        <v>13</v>
      </c>
      <c r="E28" s="9" t="s">
        <v>38</v>
      </c>
      <c r="F28" s="8" t="s">
        <v>106</v>
      </c>
      <c r="G28" s="8" t="s">
        <v>107</v>
      </c>
    </row>
    <row r="29" customFormat="false" ht="42.75" hidden="false" customHeight="true" outlineLevel="0" collapsed="false">
      <c r="A29" s="6" t="s">
        <v>108</v>
      </c>
      <c r="B29" s="6" t="s">
        <v>90</v>
      </c>
      <c r="C29" s="6" t="s">
        <v>109</v>
      </c>
      <c r="D29" s="6" t="s">
        <v>13</v>
      </c>
      <c r="E29" s="9" t="s">
        <v>38</v>
      </c>
      <c r="F29" s="6" t="s">
        <v>110</v>
      </c>
      <c r="G29" s="6" t="s">
        <v>111</v>
      </c>
    </row>
    <row r="30" customFormat="false" ht="32.25" hidden="false" customHeight="true" outlineLevel="0" collapsed="false">
      <c r="A30" s="8" t="s">
        <v>112</v>
      </c>
      <c r="B30" s="8" t="s">
        <v>90</v>
      </c>
      <c r="C30" s="8" t="s">
        <v>113</v>
      </c>
      <c r="D30" s="8" t="s">
        <v>13</v>
      </c>
      <c r="E30" s="9" t="s">
        <v>38</v>
      </c>
      <c r="F30" s="8" t="s">
        <v>114</v>
      </c>
      <c r="G30" s="8" t="s">
        <v>115</v>
      </c>
    </row>
    <row r="31" customFormat="false" ht="53.25" hidden="false" customHeight="true" outlineLevel="0" collapsed="false">
      <c r="A31" s="6" t="s">
        <v>116</v>
      </c>
      <c r="B31" s="6" t="s">
        <v>90</v>
      </c>
      <c r="C31" s="6" t="s">
        <v>117</v>
      </c>
      <c r="D31" s="6" t="s">
        <v>118</v>
      </c>
      <c r="E31" s="9" t="s">
        <v>38</v>
      </c>
      <c r="F31" s="6" t="s">
        <v>119</v>
      </c>
      <c r="G31" s="6" t="s">
        <v>120</v>
      </c>
    </row>
    <row r="32" customFormat="false" ht="42.75" hidden="false" customHeight="true" outlineLevel="0" collapsed="false">
      <c r="A32" s="8" t="s">
        <v>121</v>
      </c>
      <c r="B32" s="8" t="s">
        <v>90</v>
      </c>
      <c r="C32" s="8" t="s">
        <v>122</v>
      </c>
      <c r="D32" s="8" t="s">
        <v>13</v>
      </c>
      <c r="E32" s="9" t="s">
        <v>38</v>
      </c>
      <c r="F32" s="8" t="s">
        <v>123</v>
      </c>
      <c r="G32" s="8" t="s">
        <v>124</v>
      </c>
    </row>
    <row r="33" customFormat="false" ht="32.25" hidden="false" customHeight="true" outlineLevel="0" collapsed="false">
      <c r="A33" s="6" t="s">
        <v>125</v>
      </c>
      <c r="B33" s="6" t="s">
        <v>90</v>
      </c>
      <c r="C33" s="6" t="s">
        <v>126</v>
      </c>
      <c r="D33" s="6" t="s">
        <v>127</v>
      </c>
      <c r="E33" s="9" t="s">
        <v>38</v>
      </c>
      <c r="F33" s="6" t="s">
        <v>128</v>
      </c>
      <c r="G33" s="6" t="s">
        <v>129</v>
      </c>
    </row>
    <row r="34" customFormat="false" ht="15" hidden="false" customHeight="true" outlineLevel="0" collapsed="false">
      <c r="A34" s="5" t="s">
        <v>130</v>
      </c>
      <c r="B34" s="5"/>
      <c r="C34" s="5"/>
      <c r="D34" s="5"/>
      <c r="E34" s="5"/>
      <c r="F34" s="5"/>
      <c r="G34" s="5"/>
    </row>
    <row r="35" customFormat="false" ht="42.75" hidden="false" customHeight="true" outlineLevel="0" collapsed="false">
      <c r="A35" s="6" t="s">
        <v>131</v>
      </c>
      <c r="B35" s="6" t="s">
        <v>132</v>
      </c>
      <c r="C35" s="6" t="s">
        <v>133</v>
      </c>
      <c r="D35" s="6" t="s">
        <v>13</v>
      </c>
      <c r="E35" s="7" t="s">
        <v>14</v>
      </c>
      <c r="F35" s="6" t="s">
        <v>134</v>
      </c>
      <c r="G35" s="6"/>
    </row>
    <row r="36" customFormat="false" ht="42.75" hidden="false" customHeight="true" outlineLevel="0" collapsed="false">
      <c r="A36" s="8" t="s">
        <v>135</v>
      </c>
      <c r="B36" s="8" t="s">
        <v>132</v>
      </c>
      <c r="C36" s="8" t="s">
        <v>136</v>
      </c>
      <c r="D36" s="8" t="s">
        <v>137</v>
      </c>
      <c r="E36" s="7" t="s">
        <v>14</v>
      </c>
      <c r="F36" s="8" t="s">
        <v>138</v>
      </c>
      <c r="G36" s="8" t="s">
        <v>139</v>
      </c>
    </row>
    <row r="37" customFormat="false" ht="53.25" hidden="false" customHeight="true" outlineLevel="0" collapsed="false">
      <c r="A37" s="6" t="s">
        <v>140</v>
      </c>
      <c r="B37" s="6" t="s">
        <v>132</v>
      </c>
      <c r="C37" s="6" t="s">
        <v>141</v>
      </c>
      <c r="D37" s="6" t="s">
        <v>13</v>
      </c>
      <c r="E37" s="7" t="s">
        <v>14</v>
      </c>
      <c r="F37" s="6" t="s">
        <v>142</v>
      </c>
      <c r="G37" s="6"/>
    </row>
    <row r="38" customFormat="false" ht="42.75" hidden="false" customHeight="true" outlineLevel="0" collapsed="false">
      <c r="A38" s="8" t="s">
        <v>143</v>
      </c>
      <c r="B38" s="8" t="s">
        <v>132</v>
      </c>
      <c r="C38" s="8" t="s">
        <v>144</v>
      </c>
      <c r="D38" s="8" t="s">
        <v>145</v>
      </c>
      <c r="E38" s="7" t="s">
        <v>14</v>
      </c>
      <c r="F38" s="8" t="s">
        <v>146</v>
      </c>
      <c r="G38" s="8" t="s">
        <v>147</v>
      </c>
    </row>
    <row r="39" customFormat="false" ht="32.25" hidden="false" customHeight="true" outlineLevel="0" collapsed="false">
      <c r="A39" s="6" t="s">
        <v>148</v>
      </c>
      <c r="B39" s="6" t="s">
        <v>132</v>
      </c>
      <c r="C39" s="6" t="s">
        <v>149</v>
      </c>
      <c r="D39" s="6" t="s">
        <v>150</v>
      </c>
      <c r="E39" s="7" t="s">
        <v>14</v>
      </c>
      <c r="F39" s="6" t="s">
        <v>151</v>
      </c>
      <c r="G39" s="6" t="s">
        <v>152</v>
      </c>
    </row>
    <row r="40" customFormat="false" ht="42.75" hidden="false" customHeight="true" outlineLevel="0" collapsed="false">
      <c r="A40" s="8" t="s">
        <v>153</v>
      </c>
      <c r="B40" s="8" t="s">
        <v>132</v>
      </c>
      <c r="C40" s="8" t="s">
        <v>154</v>
      </c>
      <c r="D40" s="8" t="s">
        <v>155</v>
      </c>
      <c r="E40" s="7" t="s">
        <v>14</v>
      </c>
      <c r="F40" s="8" t="s">
        <v>156</v>
      </c>
      <c r="G40" s="8" t="s">
        <v>157</v>
      </c>
    </row>
    <row r="41" customFormat="false" ht="32.25" hidden="false" customHeight="true" outlineLevel="0" collapsed="false">
      <c r="A41" s="6" t="s">
        <v>158</v>
      </c>
      <c r="B41" s="6" t="s">
        <v>132</v>
      </c>
      <c r="C41" s="6" t="s">
        <v>159</v>
      </c>
      <c r="D41" s="6" t="s">
        <v>160</v>
      </c>
      <c r="E41" s="7" t="s">
        <v>14</v>
      </c>
      <c r="F41" s="6" t="s">
        <v>161</v>
      </c>
      <c r="G41" s="6" t="s">
        <v>162</v>
      </c>
    </row>
    <row r="42" customFormat="false" ht="15" hidden="false" customHeight="true" outlineLevel="0" collapsed="false">
      <c r="A42" s="5" t="s">
        <v>163</v>
      </c>
      <c r="B42" s="5"/>
      <c r="C42" s="5"/>
      <c r="D42" s="5"/>
      <c r="E42" s="5"/>
      <c r="F42" s="5"/>
      <c r="G42" s="5"/>
    </row>
    <row r="43" customFormat="false" ht="21.75" hidden="false" customHeight="true" outlineLevel="0" collapsed="false">
      <c r="A43" s="6" t="s">
        <v>164</v>
      </c>
      <c r="B43" s="6" t="s">
        <v>165</v>
      </c>
      <c r="C43" s="6" t="s">
        <v>166</v>
      </c>
      <c r="D43" s="6" t="s">
        <v>167</v>
      </c>
      <c r="E43" s="9" t="s">
        <v>38</v>
      </c>
      <c r="F43" s="6" t="s">
        <v>168</v>
      </c>
      <c r="G43" s="6" t="s">
        <v>169</v>
      </c>
    </row>
    <row r="44" customFormat="false" ht="42.75" hidden="false" customHeight="true" outlineLevel="0" collapsed="false">
      <c r="A44" s="8" t="s">
        <v>170</v>
      </c>
      <c r="B44" s="8" t="s">
        <v>165</v>
      </c>
      <c r="C44" s="8" t="s">
        <v>171</v>
      </c>
      <c r="D44" s="8" t="s">
        <v>172</v>
      </c>
      <c r="E44" s="7" t="s">
        <v>14</v>
      </c>
      <c r="F44" s="8" t="s">
        <v>173</v>
      </c>
      <c r="G44" s="8" t="s">
        <v>174</v>
      </c>
    </row>
    <row r="45" customFormat="false" ht="42.75" hidden="false" customHeight="true" outlineLevel="0" collapsed="false">
      <c r="A45" s="6" t="s">
        <v>175</v>
      </c>
      <c r="B45" s="6" t="s">
        <v>165</v>
      </c>
      <c r="C45" s="6" t="s">
        <v>176</v>
      </c>
      <c r="D45" s="6" t="s">
        <v>13</v>
      </c>
      <c r="E45" s="7" t="s">
        <v>14</v>
      </c>
      <c r="F45" s="6" t="s">
        <v>177</v>
      </c>
      <c r="G45" s="6" t="s">
        <v>178</v>
      </c>
    </row>
    <row r="46" customFormat="false" ht="42.75" hidden="false" customHeight="true" outlineLevel="0" collapsed="false">
      <c r="A46" s="8" t="s">
        <v>179</v>
      </c>
      <c r="B46" s="8" t="s">
        <v>165</v>
      </c>
      <c r="C46" s="8" t="s">
        <v>180</v>
      </c>
      <c r="D46" s="8" t="s">
        <v>13</v>
      </c>
      <c r="E46" s="7" t="s">
        <v>14</v>
      </c>
      <c r="F46" s="8" t="s">
        <v>181</v>
      </c>
      <c r="G46" s="8" t="s">
        <v>182</v>
      </c>
    </row>
    <row r="47" customFormat="false" ht="42.75" hidden="false" customHeight="true" outlineLevel="0" collapsed="false">
      <c r="A47" s="6" t="s">
        <v>183</v>
      </c>
      <c r="B47" s="6" t="s">
        <v>165</v>
      </c>
      <c r="C47" s="6" t="s">
        <v>184</v>
      </c>
      <c r="D47" s="6" t="s">
        <v>13</v>
      </c>
      <c r="E47" s="7" t="s">
        <v>14</v>
      </c>
      <c r="F47" s="6" t="s">
        <v>185</v>
      </c>
      <c r="G47" s="6" t="s">
        <v>186</v>
      </c>
    </row>
    <row r="48" customFormat="false" ht="32.25" hidden="false" customHeight="true" outlineLevel="0" collapsed="false">
      <c r="A48" s="8" t="s">
        <v>187</v>
      </c>
      <c r="B48" s="8" t="s">
        <v>165</v>
      </c>
      <c r="C48" s="8" t="s">
        <v>188</v>
      </c>
      <c r="D48" s="8" t="s">
        <v>13</v>
      </c>
      <c r="E48" s="9" t="s">
        <v>38</v>
      </c>
      <c r="F48" s="8" t="s">
        <v>189</v>
      </c>
      <c r="G48" s="8" t="s">
        <v>190</v>
      </c>
    </row>
    <row r="49" customFormat="false" ht="32.25" hidden="false" customHeight="true" outlineLevel="0" collapsed="false">
      <c r="A49" s="6" t="s">
        <v>191</v>
      </c>
      <c r="B49" s="6" t="s">
        <v>165</v>
      </c>
      <c r="C49" s="6" t="s">
        <v>192</v>
      </c>
      <c r="D49" s="6" t="s">
        <v>13</v>
      </c>
      <c r="E49" s="7" t="s">
        <v>14</v>
      </c>
      <c r="F49" s="6" t="s">
        <v>193</v>
      </c>
      <c r="G49" s="6" t="s">
        <v>194</v>
      </c>
    </row>
    <row r="50" customFormat="false" ht="32.25" hidden="false" customHeight="true" outlineLevel="0" collapsed="false">
      <c r="A50" s="8" t="s">
        <v>195</v>
      </c>
      <c r="B50" s="8" t="s">
        <v>165</v>
      </c>
      <c r="C50" s="8" t="s">
        <v>196</v>
      </c>
      <c r="D50" s="8" t="s">
        <v>13</v>
      </c>
      <c r="E50" s="7" t="s">
        <v>14</v>
      </c>
      <c r="F50" s="8" t="s">
        <v>197</v>
      </c>
      <c r="G50" s="8" t="s">
        <v>198</v>
      </c>
    </row>
    <row r="51" customFormat="false" ht="32.25" hidden="false" customHeight="true" outlineLevel="0" collapsed="false">
      <c r="A51" s="6" t="s">
        <v>199</v>
      </c>
      <c r="B51" s="6" t="s">
        <v>165</v>
      </c>
      <c r="C51" s="6" t="s">
        <v>200</v>
      </c>
      <c r="D51" s="6" t="s">
        <v>13</v>
      </c>
      <c r="E51" s="9" t="s">
        <v>38</v>
      </c>
      <c r="F51" s="6" t="s">
        <v>201</v>
      </c>
      <c r="G51" s="6" t="s">
        <v>202</v>
      </c>
    </row>
    <row r="52" customFormat="false" ht="32.25" hidden="false" customHeight="true" outlineLevel="0" collapsed="false">
      <c r="A52" s="8" t="s">
        <v>203</v>
      </c>
      <c r="B52" s="8" t="s">
        <v>165</v>
      </c>
      <c r="C52" s="8" t="s">
        <v>204</v>
      </c>
      <c r="D52" s="8" t="s">
        <v>13</v>
      </c>
      <c r="E52" s="7" t="s">
        <v>14</v>
      </c>
      <c r="F52" s="8" t="s">
        <v>205</v>
      </c>
      <c r="G52" s="8" t="s">
        <v>206</v>
      </c>
    </row>
    <row r="53" customFormat="false" ht="32.25" hidden="false" customHeight="true" outlineLevel="0" collapsed="false">
      <c r="A53" s="6" t="s">
        <v>207</v>
      </c>
      <c r="B53" s="6" t="s">
        <v>165</v>
      </c>
      <c r="C53" s="6" t="s">
        <v>208</v>
      </c>
      <c r="D53" s="6" t="s">
        <v>13</v>
      </c>
      <c r="E53" s="9" t="s">
        <v>38</v>
      </c>
      <c r="F53" s="6" t="s">
        <v>209</v>
      </c>
      <c r="G53" s="6" t="s">
        <v>210</v>
      </c>
    </row>
    <row r="54" customFormat="false" ht="32.25" hidden="false" customHeight="true" outlineLevel="0" collapsed="false">
      <c r="A54" s="8" t="s">
        <v>211</v>
      </c>
      <c r="B54" s="8" t="s">
        <v>165</v>
      </c>
      <c r="C54" s="8" t="s">
        <v>212</v>
      </c>
      <c r="D54" s="8" t="s">
        <v>213</v>
      </c>
      <c r="E54" s="7" t="s">
        <v>14</v>
      </c>
      <c r="F54" s="8" t="s">
        <v>214</v>
      </c>
      <c r="G54" s="8" t="s">
        <v>215</v>
      </c>
    </row>
    <row r="55" customFormat="false" ht="15" hidden="false" customHeight="true" outlineLevel="0" collapsed="false">
      <c r="A55" s="5" t="s">
        <v>216</v>
      </c>
      <c r="B55" s="5"/>
      <c r="C55" s="5"/>
      <c r="D55" s="5"/>
      <c r="E55" s="5"/>
      <c r="F55" s="5"/>
      <c r="G55" s="5"/>
    </row>
    <row r="56" customFormat="false" ht="42.75" hidden="false" customHeight="true" outlineLevel="0" collapsed="false">
      <c r="A56" s="6" t="s">
        <v>217</v>
      </c>
      <c r="B56" s="6" t="s">
        <v>218</v>
      </c>
      <c r="C56" s="6" t="s">
        <v>219</v>
      </c>
      <c r="D56" s="6" t="s">
        <v>13</v>
      </c>
      <c r="E56" s="7" t="s">
        <v>14</v>
      </c>
      <c r="F56" s="6" t="s">
        <v>220</v>
      </c>
      <c r="G56" s="6"/>
    </row>
    <row r="57" customFormat="false" ht="32.25" hidden="false" customHeight="true" outlineLevel="0" collapsed="false">
      <c r="A57" s="8" t="s">
        <v>221</v>
      </c>
      <c r="B57" s="8" t="s">
        <v>218</v>
      </c>
      <c r="C57" s="8" t="s">
        <v>222</v>
      </c>
      <c r="D57" s="8" t="s">
        <v>13</v>
      </c>
      <c r="E57" s="7" t="s">
        <v>14</v>
      </c>
      <c r="F57" s="8" t="s">
        <v>223</v>
      </c>
      <c r="G57" s="8" t="s">
        <v>224</v>
      </c>
    </row>
    <row r="58" customFormat="false" ht="42.75" hidden="false" customHeight="true" outlineLevel="0" collapsed="false">
      <c r="A58" s="6" t="s">
        <v>225</v>
      </c>
      <c r="B58" s="6" t="s">
        <v>218</v>
      </c>
      <c r="C58" s="6" t="s">
        <v>226</v>
      </c>
      <c r="D58" s="6" t="s">
        <v>13</v>
      </c>
      <c r="E58" s="7" t="s">
        <v>14</v>
      </c>
      <c r="F58" s="6" t="s">
        <v>227</v>
      </c>
      <c r="G58" s="6" t="s">
        <v>228</v>
      </c>
    </row>
    <row r="59" customFormat="false" ht="32.25" hidden="false" customHeight="true" outlineLevel="0" collapsed="false">
      <c r="A59" s="8" t="s">
        <v>229</v>
      </c>
      <c r="B59" s="8" t="s">
        <v>218</v>
      </c>
      <c r="C59" s="8" t="s">
        <v>230</v>
      </c>
      <c r="D59" s="8" t="s">
        <v>13</v>
      </c>
      <c r="E59" s="7" t="s">
        <v>14</v>
      </c>
      <c r="F59" s="8" t="s">
        <v>231</v>
      </c>
      <c r="G59" s="8" t="s">
        <v>232</v>
      </c>
    </row>
    <row r="60" customFormat="false" ht="53.25" hidden="false" customHeight="true" outlineLevel="0" collapsed="false">
      <c r="A60" s="6" t="s">
        <v>233</v>
      </c>
      <c r="B60" s="6" t="s">
        <v>218</v>
      </c>
      <c r="C60" s="6" t="s">
        <v>234</v>
      </c>
      <c r="D60" s="6" t="s">
        <v>13</v>
      </c>
      <c r="E60" s="7" t="s">
        <v>14</v>
      </c>
      <c r="F60" s="6" t="s">
        <v>235</v>
      </c>
      <c r="G60" s="6" t="s">
        <v>236</v>
      </c>
    </row>
    <row r="61" customFormat="false" ht="42.75" hidden="false" customHeight="true" outlineLevel="0" collapsed="false">
      <c r="A61" s="8" t="s">
        <v>237</v>
      </c>
      <c r="B61" s="8" t="s">
        <v>218</v>
      </c>
      <c r="C61" s="8" t="s">
        <v>238</v>
      </c>
      <c r="D61" s="8" t="s">
        <v>13</v>
      </c>
      <c r="E61" s="7" t="s">
        <v>14</v>
      </c>
      <c r="F61" s="8" t="s">
        <v>239</v>
      </c>
      <c r="G61" s="8" t="s">
        <v>240</v>
      </c>
    </row>
    <row r="62" customFormat="false" ht="53.25" hidden="false" customHeight="true" outlineLevel="0" collapsed="false">
      <c r="A62" s="6" t="s">
        <v>241</v>
      </c>
      <c r="B62" s="6" t="s">
        <v>218</v>
      </c>
      <c r="C62" s="6" t="s">
        <v>242</v>
      </c>
      <c r="D62" s="6" t="s">
        <v>13</v>
      </c>
      <c r="E62" s="7" t="s">
        <v>14</v>
      </c>
      <c r="F62" s="6" t="s">
        <v>243</v>
      </c>
      <c r="G62" s="6" t="s">
        <v>244</v>
      </c>
    </row>
    <row r="63" customFormat="false" ht="42.75" hidden="false" customHeight="true" outlineLevel="0" collapsed="false">
      <c r="A63" s="8" t="s">
        <v>245</v>
      </c>
      <c r="B63" s="8" t="s">
        <v>218</v>
      </c>
      <c r="C63" s="8" t="s">
        <v>246</v>
      </c>
      <c r="D63" s="8" t="s">
        <v>247</v>
      </c>
      <c r="E63" s="9" t="s">
        <v>38</v>
      </c>
      <c r="F63" s="8" t="s">
        <v>248</v>
      </c>
      <c r="G63" s="8" t="s">
        <v>249</v>
      </c>
    </row>
    <row r="64" customFormat="false" ht="42.75" hidden="false" customHeight="true" outlineLevel="0" collapsed="false">
      <c r="A64" s="6" t="s">
        <v>250</v>
      </c>
      <c r="B64" s="6" t="s">
        <v>218</v>
      </c>
      <c r="C64" s="6" t="s">
        <v>251</v>
      </c>
      <c r="D64" s="6" t="s">
        <v>13</v>
      </c>
      <c r="E64" s="7" t="s">
        <v>14</v>
      </c>
      <c r="F64" s="6" t="s">
        <v>252</v>
      </c>
      <c r="G64" s="6" t="s">
        <v>253</v>
      </c>
    </row>
    <row r="65" customFormat="false" ht="32.25" hidden="false" customHeight="true" outlineLevel="0" collapsed="false">
      <c r="A65" s="8" t="s">
        <v>254</v>
      </c>
      <c r="B65" s="8" t="s">
        <v>218</v>
      </c>
      <c r="C65" s="8" t="s">
        <v>255</v>
      </c>
      <c r="D65" s="8" t="s">
        <v>13</v>
      </c>
      <c r="E65" s="7" t="s">
        <v>14</v>
      </c>
      <c r="F65" s="8" t="s">
        <v>256</v>
      </c>
      <c r="G65" s="8"/>
    </row>
    <row r="66" customFormat="false" ht="15" hidden="false" customHeight="true" outlineLevel="0" collapsed="false">
      <c r="A66" s="5" t="s">
        <v>257</v>
      </c>
      <c r="B66" s="5"/>
      <c r="C66" s="5"/>
      <c r="D66" s="5"/>
      <c r="E66" s="5"/>
      <c r="F66" s="5"/>
      <c r="G66" s="5"/>
    </row>
    <row r="67" customFormat="false" ht="53.25" hidden="false" customHeight="true" outlineLevel="0" collapsed="false">
      <c r="A67" s="6" t="s">
        <v>258</v>
      </c>
      <c r="B67" s="6" t="s">
        <v>259</v>
      </c>
      <c r="C67" s="6" t="s">
        <v>260</v>
      </c>
      <c r="D67" s="6" t="s">
        <v>13</v>
      </c>
      <c r="E67" s="7" t="s">
        <v>14</v>
      </c>
      <c r="F67" s="6" t="s">
        <v>261</v>
      </c>
      <c r="G67" s="6" t="s">
        <v>262</v>
      </c>
    </row>
    <row r="68" customFormat="false" ht="42.75" hidden="false" customHeight="true" outlineLevel="0" collapsed="false">
      <c r="A68" s="8" t="s">
        <v>263</v>
      </c>
      <c r="B68" s="8" t="s">
        <v>259</v>
      </c>
      <c r="C68" s="8" t="s">
        <v>264</v>
      </c>
      <c r="D68" s="8" t="s">
        <v>265</v>
      </c>
      <c r="E68" s="7" t="s">
        <v>14</v>
      </c>
      <c r="F68" s="8" t="s">
        <v>266</v>
      </c>
      <c r="G68" s="8" t="s">
        <v>267</v>
      </c>
    </row>
    <row r="69" customFormat="false" ht="42.75" hidden="false" customHeight="true" outlineLevel="0" collapsed="false">
      <c r="A69" s="6" t="s">
        <v>268</v>
      </c>
      <c r="B69" s="6" t="s">
        <v>259</v>
      </c>
      <c r="C69" s="6" t="s">
        <v>269</v>
      </c>
      <c r="D69" s="6" t="s">
        <v>270</v>
      </c>
      <c r="E69" s="7" t="s">
        <v>14</v>
      </c>
      <c r="F69" s="6" t="s">
        <v>271</v>
      </c>
      <c r="G69" s="6" t="s">
        <v>272</v>
      </c>
    </row>
    <row r="70" customFormat="false" ht="42.75" hidden="false" customHeight="true" outlineLevel="0" collapsed="false">
      <c r="A70" s="8" t="s">
        <v>273</v>
      </c>
      <c r="B70" s="8" t="s">
        <v>259</v>
      </c>
      <c r="C70" s="8" t="s">
        <v>274</v>
      </c>
      <c r="D70" s="8" t="s">
        <v>275</v>
      </c>
      <c r="E70" s="9" t="s">
        <v>38</v>
      </c>
      <c r="F70" s="8" t="s">
        <v>276</v>
      </c>
      <c r="G70" s="8" t="s">
        <v>277</v>
      </c>
    </row>
    <row r="71" customFormat="false" ht="42.75" hidden="false" customHeight="true" outlineLevel="0" collapsed="false">
      <c r="A71" s="6" t="s">
        <v>278</v>
      </c>
      <c r="B71" s="6" t="s">
        <v>259</v>
      </c>
      <c r="C71" s="6" t="s">
        <v>279</v>
      </c>
      <c r="D71" s="6" t="s">
        <v>280</v>
      </c>
      <c r="E71" s="7" t="s">
        <v>14</v>
      </c>
      <c r="F71" s="6" t="s">
        <v>281</v>
      </c>
      <c r="G71" s="6" t="s">
        <v>282</v>
      </c>
    </row>
    <row r="72" customFormat="false" ht="53.25" hidden="false" customHeight="true" outlineLevel="0" collapsed="false">
      <c r="A72" s="8" t="s">
        <v>283</v>
      </c>
      <c r="B72" s="8" t="s">
        <v>259</v>
      </c>
      <c r="C72" s="8" t="s">
        <v>284</v>
      </c>
      <c r="D72" s="8" t="s">
        <v>13</v>
      </c>
      <c r="E72" s="7" t="s">
        <v>14</v>
      </c>
      <c r="F72" s="8" t="s">
        <v>285</v>
      </c>
      <c r="G72" s="8" t="s">
        <v>286</v>
      </c>
    </row>
    <row r="73" customFormat="false" ht="42.75" hidden="false" customHeight="true" outlineLevel="0" collapsed="false">
      <c r="A73" s="6" t="s">
        <v>287</v>
      </c>
      <c r="B73" s="6" t="s">
        <v>259</v>
      </c>
      <c r="C73" s="6" t="s">
        <v>288</v>
      </c>
      <c r="D73" s="6" t="s">
        <v>289</v>
      </c>
      <c r="E73" s="7" t="s">
        <v>14</v>
      </c>
      <c r="F73" s="6" t="s">
        <v>290</v>
      </c>
      <c r="G73" s="6" t="s">
        <v>291</v>
      </c>
    </row>
    <row r="74" customFormat="false" ht="53.25" hidden="false" customHeight="true" outlineLevel="0" collapsed="false">
      <c r="A74" s="8" t="s">
        <v>292</v>
      </c>
      <c r="B74" s="8" t="s">
        <v>259</v>
      </c>
      <c r="C74" s="8" t="s">
        <v>293</v>
      </c>
      <c r="D74" s="8" t="s">
        <v>13</v>
      </c>
      <c r="E74" s="7" t="s">
        <v>14</v>
      </c>
      <c r="F74" s="8" t="s">
        <v>294</v>
      </c>
      <c r="G74" s="8" t="s">
        <v>295</v>
      </c>
    </row>
  </sheetData>
  <mergeCells count="9">
    <mergeCell ref="A1:G1"/>
    <mergeCell ref="A2:G2"/>
    <mergeCell ref="A5:G5"/>
    <mergeCell ref="A16:G16"/>
    <mergeCell ref="A24:G24"/>
    <mergeCell ref="A34:G34"/>
    <mergeCell ref="A42:G42"/>
    <mergeCell ref="A55:G55"/>
    <mergeCell ref="A66:G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6" min="6" style="1" width="10"/>
  </cols>
  <sheetData>
    <row r="1" customFormat="false" ht="17.25" hidden="false" customHeight="true" outlineLevel="0" collapsed="false">
      <c r="A1" s="2" t="s">
        <v>296</v>
      </c>
      <c r="B1" s="2"/>
      <c r="C1" s="2"/>
      <c r="D1" s="2"/>
      <c r="E1" s="2"/>
      <c r="F1" s="2"/>
    </row>
    <row r="3" customFormat="false" ht="23.25" hidden="false" customHeight="true" outlineLevel="0" collapsed="false">
      <c r="A3" s="4" t="s">
        <v>3</v>
      </c>
      <c r="B3" s="4" t="s">
        <v>297</v>
      </c>
      <c r="C3" s="4" t="s">
        <v>14</v>
      </c>
      <c r="D3" s="4" t="s">
        <v>298</v>
      </c>
      <c r="E3" s="4" t="s">
        <v>38</v>
      </c>
      <c r="F3" s="4" t="s">
        <v>299</v>
      </c>
    </row>
    <row r="4" customFormat="false" ht="15" hidden="false" customHeight="true" outlineLevel="0" collapsed="false">
      <c r="A4" s="8" t="s">
        <v>300</v>
      </c>
      <c r="B4" s="8" t="n">
        <v>10</v>
      </c>
      <c r="C4" s="8" t="n">
        <v>6</v>
      </c>
      <c r="D4" s="8" t="n">
        <v>0</v>
      </c>
      <c r="E4" s="8" t="n">
        <v>4</v>
      </c>
      <c r="F4" s="8" t="s">
        <v>301</v>
      </c>
    </row>
    <row r="5" customFormat="false" ht="15" hidden="false" customHeight="true" outlineLevel="0" collapsed="false">
      <c r="A5" s="6" t="s">
        <v>302</v>
      </c>
      <c r="B5" s="6" t="n">
        <v>7</v>
      </c>
      <c r="C5" s="6" t="n">
        <v>1</v>
      </c>
      <c r="D5" s="6" t="n">
        <v>0</v>
      </c>
      <c r="E5" s="6" t="n">
        <v>6</v>
      </c>
      <c r="F5" s="6" t="s">
        <v>303</v>
      </c>
    </row>
    <row r="6" customFormat="false" ht="15" hidden="false" customHeight="true" outlineLevel="0" collapsed="false">
      <c r="A6" s="8" t="s">
        <v>304</v>
      </c>
      <c r="B6" s="8" t="n">
        <v>9</v>
      </c>
      <c r="C6" s="8" t="n">
        <v>0</v>
      </c>
      <c r="D6" s="8" t="n">
        <v>0</v>
      </c>
      <c r="E6" s="8" t="n">
        <v>9</v>
      </c>
      <c r="F6" s="8" t="s">
        <v>305</v>
      </c>
    </row>
    <row r="7" customFormat="false" ht="15" hidden="false" customHeight="true" outlineLevel="0" collapsed="false">
      <c r="A7" s="6" t="s">
        <v>306</v>
      </c>
      <c r="B7" s="6" t="n">
        <v>7</v>
      </c>
      <c r="C7" s="6" t="n">
        <v>2</v>
      </c>
      <c r="D7" s="6" t="n">
        <v>0</v>
      </c>
      <c r="E7" s="6" t="n">
        <v>5</v>
      </c>
      <c r="F7" s="6" t="s">
        <v>307</v>
      </c>
    </row>
    <row r="8" customFormat="false" ht="15" hidden="false" customHeight="true" outlineLevel="0" collapsed="false">
      <c r="A8" s="8" t="s">
        <v>308</v>
      </c>
      <c r="B8" s="8" t="n">
        <v>12</v>
      </c>
      <c r="C8" s="8" t="n">
        <v>0</v>
      </c>
      <c r="D8" s="8" t="n">
        <v>0</v>
      </c>
      <c r="E8" s="8" t="n">
        <v>12</v>
      </c>
      <c r="F8" s="8" t="s">
        <v>305</v>
      </c>
    </row>
    <row r="9" customFormat="false" ht="15" hidden="false" customHeight="true" outlineLevel="0" collapsed="false">
      <c r="A9" s="6" t="s">
        <v>309</v>
      </c>
      <c r="B9" s="6" t="n">
        <v>10</v>
      </c>
      <c r="C9" s="6" t="n">
        <v>2</v>
      </c>
      <c r="D9" s="6" t="n">
        <v>0</v>
      </c>
      <c r="E9" s="6" t="n">
        <v>8</v>
      </c>
      <c r="F9" s="6" t="s">
        <v>310</v>
      </c>
    </row>
    <row r="10" customFormat="false" ht="15" hidden="false" customHeight="true" outlineLevel="0" collapsed="false">
      <c r="A10" s="8" t="s">
        <v>311</v>
      </c>
      <c r="B10" s="8" t="n">
        <v>8</v>
      </c>
      <c r="C10" s="8" t="n">
        <v>0</v>
      </c>
      <c r="D10" s="8" t="n">
        <v>0</v>
      </c>
      <c r="E10" s="8" t="n">
        <v>8</v>
      </c>
      <c r="F10" s="8" t="s">
        <v>305</v>
      </c>
    </row>
    <row r="11" customFormat="false" ht="15" hidden="false" customHeight="true" outlineLevel="0" collapsed="false">
      <c r="A11" s="10" t="s">
        <v>312</v>
      </c>
      <c r="B11" s="11" t="n">
        <f aca="false">SUM(B4:B10)</f>
        <v>63</v>
      </c>
      <c r="C11" s="11" t="n">
        <f aca="false">SUM(C4:C10)</f>
        <v>11</v>
      </c>
      <c r="D11" s="11" t="n">
        <f aca="false">SUM(D4:D10)</f>
        <v>0</v>
      </c>
      <c r="E11" s="11" t="n">
        <f aca="false">SUM(E4:E10)</f>
        <v>52</v>
      </c>
      <c r="F11" s="12" t="n">
        <f aca="false">C11/B11</f>
        <v>0.174603174603175</v>
      </c>
    </row>
    <row r="13" customFormat="false" ht="15" hidden="false" customHeight="true" outlineLevel="0" collapsed="false">
      <c r="A13" s="13" t="s">
        <v>313</v>
      </c>
      <c r="B13" s="13"/>
      <c r="C13" s="13"/>
      <c r="D13" s="13"/>
      <c r="E13" s="13"/>
      <c r="F13" s="13"/>
    </row>
    <row r="14" customFormat="false" ht="30" hidden="false" customHeight="true" outlineLevel="0" collapsed="false">
      <c r="A14" s="14" t="s">
        <v>314</v>
      </c>
      <c r="B14" s="14"/>
      <c r="C14" s="14"/>
      <c r="D14" s="14"/>
      <c r="E14" s="14"/>
      <c r="F14" s="14"/>
    </row>
    <row r="15" customFormat="false" ht="30" hidden="false" customHeight="true" outlineLevel="0" collapsed="false">
      <c r="A15" s="14" t="s">
        <v>315</v>
      </c>
      <c r="B15" s="14"/>
      <c r="C15" s="14"/>
      <c r="D15" s="14"/>
      <c r="E15" s="14"/>
      <c r="F15" s="14"/>
    </row>
    <row r="16" customFormat="false" ht="30" hidden="false" customHeight="true" outlineLevel="0" collapsed="false">
      <c r="A16" s="14" t="s">
        <v>316</v>
      </c>
      <c r="B16" s="14"/>
      <c r="C16" s="14"/>
      <c r="D16" s="14"/>
      <c r="E16" s="14"/>
      <c r="F16" s="14"/>
    </row>
    <row r="17" customFormat="false" ht="30" hidden="false" customHeight="true" outlineLevel="0" collapsed="false">
      <c r="A17" s="14" t="s">
        <v>317</v>
      </c>
      <c r="B17" s="14"/>
      <c r="C17" s="14"/>
      <c r="D17" s="14"/>
      <c r="E17" s="14"/>
      <c r="F17" s="14"/>
    </row>
    <row r="18" customFormat="false" ht="30" hidden="false" customHeight="true" outlineLevel="0" collapsed="false">
      <c r="A18" s="14" t="s">
        <v>318</v>
      </c>
      <c r="B18" s="14"/>
      <c r="C18" s="14"/>
      <c r="D18" s="14"/>
      <c r="E18" s="14"/>
      <c r="F18" s="14"/>
    </row>
    <row r="19" customFormat="false" ht="30" hidden="false" customHeight="true" outlineLevel="0" collapsed="false">
      <c r="A19" s="14" t="s">
        <v>319</v>
      </c>
      <c r="B19" s="14"/>
      <c r="C19" s="14"/>
      <c r="D19" s="14"/>
      <c r="E19" s="14"/>
      <c r="F19" s="14"/>
    </row>
    <row r="20" customFormat="false" ht="30" hidden="false" customHeight="true" outlineLevel="0" collapsed="false">
      <c r="A20" s="14" t="s">
        <v>320</v>
      </c>
      <c r="B20" s="14"/>
      <c r="C20" s="14"/>
      <c r="D20" s="14"/>
      <c r="E20" s="14"/>
      <c r="F20" s="14"/>
    </row>
    <row r="21" customFormat="false" ht="30" hidden="false" customHeight="true" outlineLevel="0" collapsed="false">
      <c r="A21" s="14" t="s">
        <v>321</v>
      </c>
      <c r="B21" s="14"/>
      <c r="C21" s="14"/>
      <c r="D21" s="14"/>
      <c r="E21" s="14"/>
      <c r="F21" s="14"/>
    </row>
    <row r="22" customFormat="false" ht="30" hidden="false" customHeight="true" outlineLevel="0" collapsed="false">
      <c r="A22" s="14" t="s">
        <v>322</v>
      </c>
      <c r="B22" s="14"/>
      <c r="C22" s="14"/>
      <c r="D22" s="14"/>
      <c r="E22" s="14"/>
      <c r="F22" s="14"/>
    </row>
  </sheetData>
  <mergeCells count="11">
    <mergeCell ref="A1:F1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2026-03-13T18:58:52Z</dcterms:created>
  <dc:creator>openpyxl</dc:creator>
  <dc:description/>
  <dc:language>en-US</dc:language>
  <cp:lastModifiedBy/>
  <dcterms:modified xsi:type="dcterms:W3CDTF">2026-03-13T19:28:23Z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