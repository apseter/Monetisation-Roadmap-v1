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RITICAL ANALYSIS" sheetId="2" state="visible" r:id="rId4"/>
    <sheet name="GAP REGISTER" sheetId="3" state="visible" r:id="rId5"/>
    <sheet name="P0" sheetId="4" state="visible" r:id="rId6"/>
    <sheet name="P1" sheetId="5" state="visible" r:id="rId7"/>
    <sheet name="P2" sheetId="6" state="visible" r:id="rId8"/>
    <sheet name="P3" sheetId="7" state="visible" r:id="rId9"/>
    <sheet name="P4" sheetId="8" state="visible" r:id="rId10"/>
    <sheet name="P5" sheetId="9" state="visible" r:id="rId11"/>
    <sheet name="P6" sheetId="10" state="visible" r:id="rId12"/>
    <sheet name="P7" sheetId="11" state="visible" r:id="rId13"/>
    <sheet name="P8" sheetId="12" state="visible" r:id="rId14"/>
    <sheet name="P9" sheetId="13" state="visible" r:id="rId15"/>
    <sheet name="P10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<sst xmlns="http://schemas.openxmlformats.org/spreadsheetml/2006/main" count="5018" uniqueCount="2440">
  <si>
    <t xml:space="preserve">MODULAR-LINER TRAIL SHORTS — D2C BRAND GTM TRACKER</t>
  </si>
  <si>
    <t xml:space="preserve">Comprehensive Project Management Dashboard  |  March 2026</t>
  </si>
  <si>
    <t xml:space="preserve">Project</t>
  </si>
  <si>
    <t xml:space="preserve">Description</t>
  </si>
  <si>
    <t xml:space="preserve">Duration</t>
  </si>
  <si>
    <t xml:space="preserve">Subprojects</t>
  </si>
  <si>
    <t xml:space="preserve">Total Tasks</t>
  </si>
  <si>
    <t xml:space="preserve">Completed</t>
  </si>
  <si>
    <t xml:space="preserve">% Complete</t>
  </si>
  <si>
    <t xml:space="preserve">Status</t>
  </si>
  <si>
    <t xml:space="preserve">Budget (A)</t>
  </si>
  <si>
    <t xml:space="preserve">Budget (B)</t>
  </si>
  <si>
    <t xml:space="preserve">P0</t>
  </si>
  <si>
    <t xml:space="preserve">Market Research &amp; Concept Validation</t>
  </si>
  <si>
    <t xml:space="preserve">Wk 1-8</t>
  </si>
  <si>
    <t xml:space="preserve">Not Started</t>
  </si>
  <si>
    <t xml:space="preserve">$450-$1,100</t>
  </si>
  <si>
    <t xml:space="preserve">$2,000-$5,400</t>
  </si>
  <si>
    <t xml:space="preserve">P1</t>
  </si>
  <si>
    <t xml:space="preserve">Brand Development &amp; Positioning</t>
  </si>
  <si>
    <t xml:space="preserve">Wk 4-10</t>
  </si>
  <si>
    <t xml:space="preserve">$1,800-$3,200</t>
  </si>
  <si>
    <t xml:space="preserve">$5,700-$12,800</t>
  </si>
  <si>
    <t xml:space="preserve">P2</t>
  </si>
  <si>
    <t xml:space="preserve">Product Development &amp; Manufacturing</t>
  </si>
  <si>
    <t xml:space="preserve">Wk 6-18</t>
  </si>
  <si>
    <t xml:space="preserve">$4,800-$8,400</t>
  </si>
  <si>
    <t xml:space="preserve">$14,600-$35,700</t>
  </si>
  <si>
    <t xml:space="preserve">P3</t>
  </si>
  <si>
    <t xml:space="preserve">Supply Chain &amp; Fulfillment</t>
  </si>
  <si>
    <t xml:space="preserve">Wk 14-20</t>
  </si>
  <si>
    <t xml:space="preserve">$1,030-$2,060</t>
  </si>
  <si>
    <t xml:space="preserve">$2,030-$4,060</t>
  </si>
  <si>
    <t xml:space="preserve">P4</t>
  </si>
  <si>
    <t xml:space="preserve">Marketing &amp; Community Building</t>
  </si>
  <si>
    <t xml:space="preserve">Wk 8+</t>
  </si>
  <si>
    <t xml:space="preserve">$2,100-$4,500</t>
  </si>
  <si>
    <t xml:space="preserve">$7,900-$18,700</t>
  </si>
  <si>
    <t xml:space="preserve">P5</t>
  </si>
  <si>
    <t xml:space="preserve">Sales Launch &amp; Revenue Operations</t>
  </si>
  <si>
    <t xml:space="preserve">Wk 18-30</t>
  </si>
  <si>
    <t xml:space="preserve">$0-$200</t>
  </si>
  <si>
    <t xml:space="preserve">$1,300-$2,700</t>
  </si>
  <si>
    <t xml:space="preserve">P6</t>
  </si>
  <si>
    <t xml:space="preserve">Scaling &amp; Expansion</t>
  </si>
  <si>
    <t xml:space="preserve">Mo 8-24</t>
  </si>
  <si>
    <t xml:space="preserve">$1,500-$3,000</t>
  </si>
  <si>
    <t xml:space="preserve">$23,500-$43,000</t>
  </si>
  <si>
    <t xml:space="preserve">P7</t>
  </si>
  <si>
    <t xml:space="preserve">Financial Operations &amp; Cash Flow</t>
  </si>
  <si>
    <t xml:space="preserve">Wk 1+</t>
  </si>
  <si>
    <t xml:space="preserve">$200-$500</t>
  </si>
  <si>
    <t xml:space="preserve">$1,000-$3,000</t>
  </si>
  <si>
    <t xml:space="preserve">P8</t>
  </si>
  <si>
    <t xml:space="preserve">Tech Infrastructure &amp; Analytics</t>
  </si>
  <si>
    <t xml:space="preserve">Wk 4-12</t>
  </si>
  <si>
    <t xml:space="preserve">$100-$300</t>
  </si>
  <si>
    <t xml:space="preserve">$500-$2,000</t>
  </si>
  <si>
    <t xml:space="preserve">P9</t>
  </si>
  <si>
    <t xml:space="preserve">Legal, Compliance &amp; Risk Mgmt</t>
  </si>
  <si>
    <t xml:space="preserve">Wk 1-12</t>
  </si>
  <si>
    <t xml:space="preserve">$800-$2,000</t>
  </si>
  <si>
    <t xml:space="preserve">$3,000-$8,000</t>
  </si>
  <si>
    <t xml:space="preserve">P10</t>
  </si>
  <si>
    <t xml:space="preserve">Customer Experience &amp; Support</t>
  </si>
  <si>
    <t xml:space="preserve">Wk 14+</t>
  </si>
  <si>
    <t xml:space="preserve">$500-$1,500</t>
  </si>
  <si>
    <t xml:space="preserve">TOTAL (P0-P10)</t>
  </si>
  <si>
    <t xml:space="preserve">KEY MILESTONE TRACKER</t>
  </si>
  <si>
    <t xml:space="preserve">Milestone</t>
  </si>
  <si>
    <t xml:space="preserve">Target Date</t>
  </si>
  <si>
    <t xml:space="preserve">Dependencies</t>
  </si>
  <si>
    <t xml:space="preserve">Owner</t>
  </si>
  <si>
    <t xml:space="preserve">Notes</t>
  </si>
  <si>
    <t xml:space="preserve">DELIVERABLE DOCUMENTS PRODUCED</t>
  </si>
  <si>
    <t xml:space="preserve">Week 8</t>
  </si>
  <si>
    <t xml:space="preserve">P0 complete</t>
  </si>
  <si>
    <t xml:space="preserve">Founder</t>
  </si>
  <si>
    <t xml:space="preserve">4 of 5 criteria must pass</t>
  </si>
  <si>
    <t xml:space="preserve">Subproject</t>
  </si>
  <si>
    <t xml:space="preserve">Contents</t>
  </si>
  <si>
    <t xml:space="preserve">Founder + Designer</t>
  </si>
  <si>
    <t xml:space="preserve">Pre-launch page converting</t>
  </si>
  <si>
    <t xml:space="preserve">Market Research (P0A-P0H)</t>
  </si>
  <si>
    <t xml:space="preserve">Complete</t>
  </si>
  <si>
    <t xml:space="preserve">8 documents + master audit tracker</t>
  </si>
  <si>
    <t xml:space="preserve">Factory Lead</t>
  </si>
  <si>
    <t xml:space="preserve">15-25 sample sets</t>
  </si>
  <si>
    <t xml:space="preserve">Brand Development (P1A-P1G)</t>
  </si>
  <si>
    <t xml:space="preserve">Brand playbook, 5 blog posts, legal templates, ambassador, Shopify checklist</t>
  </si>
  <si>
    <t xml:space="preserve">All tester feedback collected</t>
  </si>
  <si>
    <t xml:space="preserve">P2A</t>
  </si>
  <si>
    <t xml:space="preserve">5,284 words — factory strategy, snap engineering, BOM, QC</t>
  </si>
  <si>
    <t xml:space="preserve">AQL 2.5% passed</t>
  </si>
  <si>
    <t xml:space="preserve">P2B</t>
  </si>
  <si>
    <t xml:space="preserve">Fabric Sourcing &amp; Procurement</t>
  </si>
  <si>
    <t xml:space="preserve">3,036 words — Alibaba, DWR spec, import logistics, duties</t>
  </si>
  <si>
    <t xml:space="preserve">Test orders successful</t>
  </si>
  <si>
    <t xml:space="preserve">P2C</t>
  </si>
  <si>
    <t xml:space="preserve">Sampling, Fit Testing &amp; Production</t>
  </si>
  <si>
    <t xml:space="preserve">4,875 words — tech packs, patterns, sampling, compression, production</t>
  </si>
  <si>
    <t xml:space="preserve">Email list notified, all channels live</t>
  </si>
  <si>
    <t xml:space="preserve">P3A</t>
  </si>
  <si>
    <t xml:space="preserve">3,083 words — freight, DCTS, carriers, returns, packaging</t>
  </si>
  <si>
    <t xml:space="preserve">Post-purchase survey active</t>
  </si>
  <si>
    <t xml:space="preserve">P4A</t>
  </si>
  <si>
    <t xml:space="preserve">Pricing &amp; Financial Modeling</t>
  </si>
  <si>
    <t xml:space="preserve">3,504 words — unit economics, break-even, bundle pricing, Y1 projections</t>
  </si>
  <si>
    <t xml:space="preserve">Top 3 improvements identified</t>
  </si>
  <si>
    <t xml:space="preserve">P5A</t>
  </si>
  <si>
    <t xml:space="preserve">Digital Marketing &amp; Customer Acquisition</t>
  </si>
  <si>
    <t xml:space="preserve">5,330 words — pre-launch, social, influencers, SEO, Klaviyo, France</t>
  </si>
  <si>
    <t xml:space="preserve">10+ women field testers</t>
  </si>
  <si>
    <t xml:space="preserve">P6A</t>
  </si>
  <si>
    <t xml:space="preserve">Post-Launch Operations &amp; CX</t>
  </si>
  <si>
    <t xml:space="preserve">7,860 words — CS setup, fulfillment, returns, reviews, feedback, reorder</t>
  </si>
  <si>
    <t xml:space="preserve">Monthly revenue covers costs</t>
  </si>
  <si>
    <t xml:space="preserve">P7A</t>
  </si>
  <si>
    <t xml:space="preserve">4,658 words — Wise, Xero, VAT, PVA, cash flow forecast, working capital</t>
  </si>
  <si>
    <t xml:space="preserve">P8A</t>
  </si>
  <si>
    <t xml:space="preserve">5,169 words — Shopify, GA4, Meta Pixel, Clarity, apps, speed, security</t>
  </si>
  <si>
    <t xml:space="preserve">P9A</t>
  </si>
  <si>
    <t xml:space="preserve">Legal, Compliance &amp; Risk</t>
  </si>
  <si>
    <t xml:space="preserve">5,246 words — consumer law, REACH, PFAS, GDPR, ASA, France Loi AGEC</t>
  </si>
  <si>
    <t xml:space="preserve">TOTAL: 60,000+ words | 22+ documents | P0-P10A COMPLETE</t>
  </si>
  <si>
    <t xml:space="preserve">Last Updated: March 19, 2026</t>
  </si>
  <si>
    <t xml:space="preserve">All 11 projects (P0-P10) have deliverables. 361/361 tasks complete or deliverable-ready.</t>
  </si>
  <si>
    <t xml:space="preserve">CRITICAL ANALYSIS &amp; GAP AUDIT — ALL SUBPROJECTS</t>
  </si>
  <si>
    <t xml:space="preserve">Stress-testing every assumption, identifying blind spots, mapping dependencies, and contingency planning | March 2026</t>
  </si>
  <si>
    <t xml:space="preserve">SECTION 1: ASSUMPTION STRESS-TESTS — What happens when our key assumptions are wrong?</t>
  </si>
  <si>
    <t xml:space="preserve">#</t>
  </si>
  <si>
    <t xml:space="preserve">Assumption Made</t>
  </si>
  <si>
    <t xml:space="preserve">What We Assumed</t>
  </si>
  <si>
    <t xml:space="preserve">Risk If Wrong</t>
  </si>
  <si>
    <t xml:space="preserve">Likelihood</t>
  </si>
  <si>
    <t xml:space="preserve">Contingency Plan</t>
  </si>
  <si>
    <t xml:space="preserve">Gap Identified</t>
  </si>
  <si>
    <t xml:space="preserve">A01</t>
  </si>
  <si>
    <t xml:space="preserve">Sialkot factories accept 35-100 unit MOQ</t>
  </si>
  <si>
    <t xml:space="preserve">Leopard Apparels, Cawlaw, Janletic accept small orders for a new client</t>
  </si>
  <si>
    <t xml:space="preserve">CRITICAL</t>
  </si>
  <si>
    <t xml:space="preserve">Medium</t>
  </si>
  <si>
    <t xml:space="preserve">If all 3 reject: (a) Try 5 more Sialkot factories, (b) Use family factory from Day 1 with outsourced flatlock, (c) Increase Run 1 to 500 units to meet MOQ</t>
  </si>
  <si>
    <t xml:space="preserve">NO backup factory list beyond 3 named. No pre-qualification conversations documented. → FIX: See Critical_Gap_Fixes_A05_A15_A01.md</t>
  </si>
  <si>
    <t xml:space="preserve">FIX DELIVERED</t>
  </si>
  <si>
    <t xml:space="preserve">A02</t>
  </si>
  <si>
    <t xml:space="preserve">Family factory can be upskilled for outer short</t>
  </si>
  <si>
    <t xml:space="preserve">Phase 2 assumes family factory handles cutting + overlock + coverstitch + snaps within 3-6 months</t>
  </si>
  <si>
    <t xml:space="preserve">HIGH</t>
  </si>
  <si>
    <t xml:space="preserve">If quality fails: remain with Sialkot outsourcing permanently. Family factory becomes only packing/shipping hub.</t>
  </si>
  <si>
    <t xml:space="preserve">No factory capability assessment actually conducted. Assumption is untested.</t>
  </si>
  <si>
    <t xml:space="preserve">GAP</t>
  </si>
  <si>
    <t xml:space="preserve">A03</t>
  </si>
  <si>
    <t xml:space="preserve">Chinese fabric suppliers deliver correct spec</t>
  </si>
  <si>
    <t xml:space="preserve">Alibaba suppliers deliver fabric matching approved sample in GSM, stretch, DWR, colour</t>
  </si>
  <si>
    <t xml:space="preserve">Medium-High</t>
  </si>
  <si>
    <t xml:space="preserve">Bait-and-switch is the #1 Alibaba risk. Mitigation: (a) Pre-shipment inspection mandatory, (b) Retain sealed counter-samples, (c) Never release 70% balance before inspection passes, (d) Identify 2 backup suppliers NOW</t>
  </si>
  <si>
    <t xml:space="preserve">Only 4 suppliers named. No backup supplier list. No pre-qualification beyond Alibaba profiles. → FIX: See Critical_Gap_Fixes_A05_A15_A01.md</t>
  </si>
  <si>
    <t xml:space="preserve">A04</t>
  </si>
  <si>
    <t xml:space="preserve">C0 DWR pre-applied by Chinese mill achieves AATCC 22 ≥80</t>
  </si>
  <si>
    <t xml:space="preserve">Chinese mills routinely apply C0 DWR to spec</t>
  </si>
  <si>
    <t xml:space="preserve">Low-Medium</t>
  </si>
  <si>
    <t xml:space="preserve">If DWR fails: (a) Use Archroma Pakistan Lahore office for domestic finishing, (b) Accept lower spray rating for Run 1 if &gt;70, (c) Switch to silicone-based DWR (Wacker SILRES) which is easier to apply</t>
  </si>
  <si>
    <t xml:space="preserve">No DWR test results from any actual supplier yet. Assumption is based on general capability, not verified.</t>
  </si>
  <si>
    <t xml:space="preserve">A05</t>
  </si>
  <si>
    <t xml:space="preserve">Sampling completes in 6-9 rounds over 12-20 weeks</t>
  </si>
  <si>
    <t xml:space="preserve">Modular snap system works correctly by round 3-4, fit approved by round 5-6</t>
  </si>
  <si>
    <t xml:space="preserve">If sampling takes 12+ rounds: (a) Each extra round adds 2-3 weeks + $50-150, (b) Total delay of 2-4 months possible, (c) May miss April/May peak season launch window, (d) Pivot to September launch targeting autumn trail season</t>
  </si>
  <si>
    <t xml:space="preserve">No time buffer built into launch timeline. Sampling delays are the #1 cause of missed launch dates in apparel. → FIX: See Critical_Gap_Fixes_A05_A15_A01.md</t>
  </si>
  <si>
    <t xml:space="preserve">A06</t>
  </si>
  <si>
    <t xml:space="preserve">15-20 mmHg compression achievable with 80/20 nylon/spandex at 220-240 GSM</t>
  </si>
  <si>
    <t xml:space="preserve">Standard fabric spec delivers target compression without lab-validated patterns</t>
  </si>
  <si>
    <t xml:space="preserve">MEDIUM</t>
  </si>
  <si>
    <t xml:space="preserve">If compression too low: increase spandex % to 25% or increase negative ease. If too high: reduce negative ease. Both require pattern re-draft ($200-400) and new samples.</t>
  </si>
  <si>
    <t xml:space="preserve">No compression testing protocol validated. Comparative method with medical garment is approximate, not precise.</t>
  </si>
  <si>
    <t xml:space="preserve">A07</t>
  </si>
  <si>
    <t xml:space="preserve">Air freight from Lahore to UK costs £1-2.50/unit</t>
  </si>
  <si>
    <t xml:space="preserve">Consolidator pricing for 30-50kg shipment to UK airport</t>
  </si>
  <si>
    <t xml:space="preserve">LOW</t>
  </si>
  <si>
    <t xml:space="preserve">Low</t>
  </si>
  <si>
    <t xml:space="preserve">If freight doubles to £3-5/unit: margin impact is £1-2.50/unit. Absorbed by existing margin buffer. Not existential.</t>
  </si>
  <si>
    <t xml:space="preserve">No actual freight quotes obtained. Pricing based on research, not negotiated rates.</t>
  </si>
  <si>
    <t xml:space="preserve">MINOR GAP</t>
  </si>
  <si>
    <t xml:space="preserve">A08</t>
  </si>
  <si>
    <t xml:space="preserve">DCTS 0% duty applies to finished garments from Pakistan</t>
  </si>
  <si>
    <t xml:space="preserve">HS 6203.43 qualifies under DCTS Enhanced Preferences with self-certification</t>
  </si>
  <si>
    <t xml:space="preserve">If duty applies (12% MFN): adds ~£3-4 per unit to landed cost. Erodes margin but survivable. Verify with BTI ruling BEFORE first shipment.</t>
  </si>
  <si>
    <t xml:space="preserve">BTI ruling not yet obtained. Self-certification process not tested.</t>
  </si>
  <si>
    <t xml:space="preserve">A09</t>
  </si>
  <si>
    <t xml:space="preserve">Self-fulfillment is manageable at 5-15 orders/day</t>
  </si>
  <si>
    <t xml:space="preserve">Solo founder can process 5-15 orders in 1.5-2.5 hours/day</t>
  </si>
  <si>
    <t xml:space="preserve">If launch generates 30+ orders/day for multiple days: founder works 6-8 hour days on fulfillment alone. Temporary but exhausting. Pre-pack 50 bundles before launch day.</t>
  </si>
  <si>
    <t xml:space="preserve">No launch day surge capacity plan. No helper arranged for Week 1.</t>
  </si>
  <si>
    <t xml:space="preserve">A10</t>
  </si>
  <si>
    <t xml:space="preserve">£39 system bundle is the right price point</t>
  </si>
  <si>
    <t xml:space="preserve">55% below Path Projects, in 'smart value' gap between budget and mid-tier</t>
  </si>
  <si>
    <t xml:space="preserve">If conversion is &lt;1% after 30 days with 500+ sessions: (a) Test £35 bundle price, (b) Test free shipping on all orders, (c) Add '30-day trail guarantee' to reduce purchase friction. Do NOT drop below £35 — below this, quality perception collapses.</t>
  </si>
  <si>
    <t xml:space="preserve">No price sensitivity testing with actual customers. Price based on competitive analysis and margin math, not willingness-to-pay data.</t>
  </si>
  <si>
    <t xml:space="preserve">A11</t>
  </si>
  <si>
    <t xml:space="preserve">60% of orders will be bundles (not individual items)</t>
  </si>
  <si>
    <t xml:space="preserve">Bundle pricing psychology + product page design drives bundle adoption</t>
  </si>
  <si>
    <t xml:space="preserve">If bundle rate is &lt;40%: average order value drops to ~£30, all unit economics worsen. Response: (a) Increase bundle discount from 9% to 15%, (b) Default product page to bundle, (c) Add 'Bundle &amp; Save' banner above individual products, (d) Consider removing individual liner from standalone sale</t>
  </si>
  <si>
    <t xml:space="preserve">Bundle adoption rate is pure assumption. No comparable brand data for modular system attach rates.</t>
  </si>
  <si>
    <t xml:space="preserve">A12</t>
  </si>
  <si>
    <t xml:space="preserve">15-25% return rate for trail running shorts</t>
  </si>
  <si>
    <t xml:space="preserve">Athletic shorts return lower than fashion but sizing issues with compression liner push it higher</t>
  </si>
  <si>
    <t xml:space="preserve">If return rate hits 30%+: (a) Investigate sizing (is grading wrong?), (b) Add more size guide detail, (c) Launch fit quiz with Kiwi Sizing, (d) Consider offering free exchanges to reduce refunds, (e) At 35%+, halt sales and fix fit</t>
  </si>
  <si>
    <t xml:space="preserve">Return rate assumption based on industry averages, not validated for modular products with compression components.</t>
  </si>
  <si>
    <t xml:space="preserve">A13</t>
  </si>
  <si>
    <t xml:space="preserve">200-300 email subscribers achievable in 8 weeks pre-launch</t>
  </si>
  <si>
    <t xml:space="preserve">Combination of personal network, social media, Reddit, Facebook groups</t>
  </si>
  <si>
    <t xml:space="preserve">If &lt;100 subscribers at launch: (a) Launch anyway — don't delay for list size, (b) Shift to paid social earlier (small budget), (c) Increase influencer seeding from 20 to 30 units, (d) Post more aggressively on Reddit/Facebook</t>
  </si>
  <si>
    <t xml:space="preserve">No pre-launch campaign has been tested. 200-300 subscribers is aspirational, not evidence-based.</t>
  </si>
  <si>
    <t xml:space="preserve">A14</t>
  </si>
  <si>
    <t xml:space="preserve">Micro-influencer gifting produces 10-15 content pieces from 25 units</t>
  </si>
  <si>
    <t xml:space="preserve">40-50% acceptance rate, 20-30% organic post rate from no-strings gifting</t>
  </si>
  <si>
    <t xml:space="preserve">If only 3-5 posts result: (a) Shift remaining seeding units to ambassador-style barter (content required), (b) Create founder-shot UGC as backup, (c) 3-5 genuine posts is still valuable for social proof</t>
  </si>
  <si>
    <t xml:space="preserve">No outreach has been conducted. Response rates from UK trail running micro-influencers are unknown.</t>
  </si>
  <si>
    <t xml:space="preserve">A15</t>
  </si>
  <si>
    <t xml:space="preserve">Organic acquisition is sufficient to sell 150-240 units in Year 1</t>
  </si>
  <si>
    <t xml:space="preserve">Community + email + organic social + influencer seeding drives 150-240 sales without significant paid spend</t>
  </si>
  <si>
    <t xml:space="preserve">If organic stalls at 50-80 units: the business model doesn't work without paid acquisition. Response: (a) Accept Year 1 is product validation only, (b) Increase marketing budget by £2-3K for Meta ads, (c) Consider wholesale to 2-3 trail running shops for volume, (d) Participate in 5+ trail events for in-person sales</t>
  </si>
  <si>
    <t xml:space="preserve">CRITICAL BLIND SPOT: No plan for what happens if organic marketing fundamentally underperforms. No wholesale or retail channel strategy as backup. → FIX: See Critical_Gap_Fixes_A05_A15_A01.md</t>
  </si>
  <si>
    <t xml:space="preserve">A16</t>
  </si>
  <si>
    <t xml:space="preserve">Solo founder can manage all operations for 90 days</t>
  </si>
  <si>
    <t xml:space="preserve">Fulfillment + CS + marketing + product development + finance in 20-25 hrs/week</t>
  </si>
  <si>
    <t xml:space="preserve">If founder burns out or volume exceeds capacity: (a) Pre-identify a VA before launch (don't hire, just identify), (b) Have a friend/family member trained on packing as backup, (c) Reduce social media posting to 3x/week instead of 5x</t>
  </si>
  <si>
    <t xml:space="preserve">No backup person identified for any function. Single point of failure on every operation.</t>
  </si>
  <si>
    <t xml:space="preserve">A17</t>
  </si>
  <si>
    <t xml:space="preserve">Founder has £23-28K available for Year 1 total investment</t>
  </si>
  <si>
    <t xml:space="preserve">Personal savings or access to funding covers Run 1 ($9,400-15,240) + Run 2 ($10,000-12,000) + operating costs</t>
  </si>
  <si>
    <t xml:space="preserve">Unknown</t>
  </si>
  <si>
    <t xml:space="preserve">If founder has &lt;£15K: (a) Reduce Run 1 to 200 units, (b) Skip Run 2 until Run 1 fully sells, (c) Apply for Start Up Loan immediately (£500-25,000 at 6%), (d) Consider pre-orders to fund Run 2</t>
  </si>
  <si>
    <t xml:space="preserve">CRITICAL BLIND SPOT: We have never confirmed the founder's actual available capital. The entire project assumes sufficient funding without verification.</t>
  </si>
  <si>
    <t xml:space="preserve">CRITICAL GAP</t>
  </si>
  <si>
    <t xml:space="preserve">A18</t>
  </si>
  <si>
    <t xml:space="preserve">10-14 week production lead time from Pakistan</t>
  </si>
  <si>
    <t xml:space="preserve">Fabric + production + shipping = 10-14 weeks from order to UK warehouse</t>
  </si>
  <si>
    <t xml:space="preserve">If lead time extends to 18-20 weeks (customs delays, fabric production issues, factory backlog): (a) 6-10 week stockout is likely, (b) Use pre-order model during gap, (c) Consider air-freighting small emergency batch (50 units) while sea freight follows</t>
  </si>
  <si>
    <t xml:space="preserve">Lead time is estimated, not based on actual completed production cycle. First run will be the benchmark.</t>
  </si>
  <si>
    <t xml:space="preserve">A19</t>
  </si>
  <si>
    <t xml:space="preserve">EU GPSR responsible person can be appointed cheaply</t>
  </si>
  <si>
    <t xml:space="preserve">€200-500/year for an EU-based responsible person service</t>
  </si>
  <si>
    <t xml:space="preserve">If cost is higher or service unavailable: (a) Use IOSS intermediary who also offers GPSR service, (b) Partner with a French trail running shop as your EU representative, (c) Defer EU sales until resolved</t>
  </si>
  <si>
    <t xml:space="preserve">No EU responsible person identified or quoted. GPSR requirement is relatively new (Dec 2024) and service market is still forming.</t>
  </si>
  <si>
    <t xml:space="preserve">A20</t>
  </si>
  <si>
    <t xml:space="preserve">France Refashion/CITEO registration is straightforward</t>
  </si>
  <si>
    <t xml:space="preserve">Mandataire handles registration for €300-800/year</t>
  </si>
  <si>
    <t xml:space="preserve">If registration is complex or delayed: defer French marketing until compliance is complete. Continue UK-only sales. France is market #2, not #1.</t>
  </si>
  <si>
    <t xml:space="preserve">No mandataire identified or contacted. Process timeline unknown.</t>
  </si>
  <si>
    <t xml:space="preserve">SECTION 2: DEPENDENCY MAP — What blocks what? Where do delays cascade?</t>
  </si>
  <si>
    <t xml:space="preserve">Upstream</t>
  </si>
  <si>
    <t xml:space="preserve">Dependency</t>
  </si>
  <si>
    <t xml:space="preserve">Downstream</t>
  </si>
  <si>
    <t xml:space="preserve">Risk If Delayed</t>
  </si>
  <si>
    <t xml:space="preserve">Delay Impact</t>
  </si>
  <si>
    <t xml:space="preserve">Buffer Built In?</t>
  </si>
  <si>
    <t xml:space="preserve">Cascade Effect</t>
  </si>
  <si>
    <t xml:space="preserve">D01</t>
  </si>
  <si>
    <t xml:space="preserve">P1A: Brand Name</t>
  </si>
  <si>
    <t xml:space="preserve">Name must be selected before trademark, domain, Shopify, all marketing</t>
  </si>
  <si>
    <t xml:space="preserve">P1B, P1D, P1E, P5A</t>
  </si>
  <si>
    <t xml:space="preserve">Blocks EVERYTHING visual, legal, and digital</t>
  </si>
  <si>
    <t xml:space="preserve">No</t>
  </si>
  <si>
    <t xml:space="preserve">2-4 week delay cascades to entire launch timeline. Name selection is the single biggest blocker in the project. → FIX: See Critical_Gap_Fixes_B01_B15_D01.md</t>
  </si>
  <si>
    <t xml:space="preserve">D02</t>
  </si>
  <si>
    <t xml:space="preserve">P1C: UK Ltd Formation</t>
  </si>
  <si>
    <t xml:space="preserve">Company must exist before Shopify Payments, VAT, bank account, EORI</t>
  </si>
  <si>
    <t xml:space="preserve">P1E, P7A, P8A, P3A</t>
  </si>
  <si>
    <t xml:space="preserve">Cannot accept payments or import goods without UK Ltd</t>
  </si>
  <si>
    <t xml:space="preserve">Formation takes 1-2 days online but bank verification takes 1-3 weeks. Start 6+ weeks before launch.</t>
  </si>
  <si>
    <t xml:space="preserve">D03</t>
  </si>
  <si>
    <t xml:space="preserve">P2B: Fabric Locked</t>
  </si>
  <si>
    <t xml:space="preserve">Exact production fabric must be confirmed before patterns can be finalised</t>
  </si>
  <si>
    <t xml:space="preserve">P2C: Patterns, P2C: Sampling</t>
  </si>
  <si>
    <t xml:space="preserve">Compression patterns engineered to specific fabric stretch. Wrong fabric = pattern restart</t>
  </si>
  <si>
    <t xml:space="preserve">Fabric delay of 4 weeks = pattern delay of 4 weeks = sampling delay of 4 weeks = launch delay of 4 weeks. This is the critical path. → FIX: Quality gates G1-G5 in P2B addendum. Supplier pre-qualification matrix in Critical_Gap_Fixes_A05_A15_A01.md</t>
  </si>
  <si>
    <t xml:space="preserve">D04</t>
  </si>
  <si>
    <t xml:space="preserve">P2C: PP Sample Approved</t>
  </si>
  <si>
    <t xml:space="preserve">Pre-production sample must be signed off before cutting bulk fabric</t>
  </si>
  <si>
    <t xml:space="preserve">P2C: Production, P3A: Shipping</t>
  </si>
  <si>
    <t xml:space="preserve">Cannot start production until PP sample approved</t>
  </si>
  <si>
    <t xml:space="preserve">2 weeks</t>
  </si>
  <si>
    <t xml:space="preserve">Each additional sample round adds 2-3 weeks. Budget 2 extra rounds.</t>
  </si>
  <si>
    <t xml:space="preserve">D05</t>
  </si>
  <si>
    <t xml:space="preserve">P3A: Goods in UK</t>
  </si>
  <si>
    <t xml:space="preserve">Physical inventory must arrive before any sales can occur</t>
  </si>
  <si>
    <t xml:space="preserve">P5A: Launch, P6A: Operations</t>
  </si>
  <si>
    <t xml:space="preserve">No stock = no launch</t>
  </si>
  <si>
    <t xml:space="preserve">1 week air freight buffer</t>
  </si>
  <si>
    <t xml:space="preserve">Customs clearance delays (Red Channel inspection for first-time importer) can add 5-10 days. Factor into launch date.</t>
  </si>
  <si>
    <t xml:space="preserve">D06</t>
  </si>
  <si>
    <t xml:space="preserve">P5A: Waitlist Built</t>
  </si>
  <si>
    <t xml:space="preserve">Email list must be built before launch email can drive sales</t>
  </si>
  <si>
    <t xml:space="preserve">P5A: Launch Day Sales</t>
  </si>
  <si>
    <t xml:space="preserve">Weak list = weak launch day = slow momentum</t>
  </si>
  <si>
    <t xml:space="preserve">If list is &lt;100 at launch: first-week sales may be &lt;5 orders. Not fatal but demoralizing.</t>
  </si>
  <si>
    <t xml:space="preserve">D07</t>
  </si>
  <si>
    <t xml:space="preserve">P1D: Logo/Branding</t>
  </si>
  <si>
    <t xml:space="preserve">Visual identity must exist before product photography, packaging, website, social media</t>
  </si>
  <si>
    <t xml:space="preserve">P1E, P1F, P5A, P6A, P8A</t>
  </si>
  <si>
    <t xml:space="preserve">Cannot create product pages, packaging, or social content without logo + brand colours</t>
  </si>
  <si>
    <t xml:space="preserve">Designer timeline of 7-21 days. If designer delivers late, entire content pipeline stalls.</t>
  </si>
  <si>
    <t xml:space="preserve">D08</t>
  </si>
  <si>
    <t xml:space="preserve">P8A: Shopify Live</t>
  </si>
  <si>
    <t xml:space="preserve">Store must be fully configured before launch</t>
  </si>
  <si>
    <t xml:space="preserve">Cannot sell without working store</t>
  </si>
  <si>
    <t xml:space="preserve">3 days</t>
  </si>
  <si>
    <t xml:space="preserve">Technical issues discovered at launch are catastrophic. Full test order required 1 week before launch.</t>
  </si>
  <si>
    <t xml:space="preserve">D09</t>
  </si>
  <si>
    <t xml:space="preserve">P7A: VAT Registration</t>
  </si>
  <si>
    <t xml:space="preserve">Must be registered before first import (for PVA) and first sale (for VAT-inclusive pricing)</t>
  </si>
  <si>
    <t xml:space="preserve">P3A: Import, P8A: Pricing</t>
  </si>
  <si>
    <t xml:space="preserve">Without PVA: £540 import VAT due upfront. Without VAT reg: cannot display VAT-inclusive prices legally</t>
  </si>
  <si>
    <t xml:space="preserve">2-4 weeks</t>
  </si>
  <si>
    <t xml:space="preserve">HMRC VAT registration takes 2-8 weeks. Apply minimum 8 weeks before first import.</t>
  </si>
  <si>
    <t xml:space="preserve">D10</t>
  </si>
  <si>
    <t xml:space="preserve">P4A: Pricing Finalised</t>
  </si>
  <si>
    <t xml:space="preserve">Final prices must be set before Shopify products created, marketing materials, packaging</t>
  </si>
  <si>
    <t xml:space="preserve">P8A, P5A, P6A</t>
  </si>
  <si>
    <t xml:space="preserve">Price changes after launch damage credibility</t>
  </si>
  <si>
    <t xml:space="preserve">Price the product correctly once. The revised £28/£15/£39/£49 architecture should be final.</t>
  </si>
  <si>
    <t xml:space="preserve">RESOLVED</t>
  </si>
  <si>
    <t xml:space="preserve">SECTION 3: BLIND SPOTS — What we haven't thought about or haven't addressed</t>
  </si>
  <si>
    <t xml:space="preserve">Category</t>
  </si>
  <si>
    <t xml:space="preserve">Blind Spot</t>
  </si>
  <si>
    <t xml:space="preserve">Why It Matters</t>
  </si>
  <si>
    <t xml:space="preserve">Risk Level</t>
  </si>
  <si>
    <t xml:space="preserve">Recommended Action</t>
  </si>
  <si>
    <t xml:space="preserve">Effort to Fix</t>
  </si>
  <si>
    <t xml:space="preserve">B01</t>
  </si>
  <si>
    <t xml:space="preserve">Financial</t>
  </si>
  <si>
    <t xml:space="preserve">Founder's actual available capital never confirmed</t>
  </si>
  <si>
    <t xml:space="preserve">Entire project assumes £23-28K. If founder has £10K, Run 2 is impossible without external funding.</t>
  </si>
  <si>
    <t xml:space="preserve">IMMEDIATE: Founder must honestly assess total available capital. If &lt;£15K: reduce Run 1 to 150-200 units, apply for Start Up Loan NOW, and consider a co-founder or angel investor.</t>
  </si>
  <si>
    <t xml:space="preserve">1 hour conversation → FIX: See Critical_Gap_Fixes_B01_B15_D01.md</t>
  </si>
  <si>
    <t xml:space="preserve">B02</t>
  </si>
  <si>
    <t xml:space="preserve">Market</t>
  </si>
  <si>
    <t xml:space="preserve">No wholesale or retail channel strategy</t>
  </si>
  <si>
    <t xml:space="preserve">If DTC organic fails, there's no backup revenue channel. 100% reliance on Shopify store.</t>
  </si>
  <si>
    <t xml:space="preserve">Identify 3-5 UK trail running specialty shops (Run4It, Northern Runner, Cotswold Outdoor) for potential wholesale. Even 20-30 units wholesale provides cash flow diversification.</t>
  </si>
  <si>
    <t xml:space="preserve">1 week outreach → FIX: See Critical_Gap_Fixes_A05_A15_A01.md</t>
  </si>
  <si>
    <t xml:space="preserve">B03</t>
  </si>
  <si>
    <t xml:space="preserve">No competitive response analysis</t>
  </si>
  <si>
    <t xml:space="preserve">What if Path Projects launches a women's line or drops price by 30% during your launch window?</t>
  </si>
  <si>
    <t xml:space="preserve">Path Projects is US-based, slow-moving, and men's-only. A price drop is unlikely but a women's launch is possible within 12 months. Your moat: UK/EU-first, inclusive sizing, lower price. Monitor their site monthly.</t>
  </si>
  <si>
    <t xml:space="preserve">30 min/month</t>
  </si>
  <si>
    <t xml:space="preserve">B04</t>
  </si>
  <si>
    <t xml:space="preserve">No analysis of Amazon as a channel</t>
  </si>
  <si>
    <t xml:space="preserve">Trail runners buy shorts on Amazon (P0A found Amazon BSR data). Zero Amazon strategy in any subproject.</t>
  </si>
  <si>
    <t xml:space="preserve">N/A</t>
  </si>
  <si>
    <t xml:space="preserve">Amazon cannibalizes DTC margin (15% referral fee + FBA fees) but provides volume. Consider Amazon UK listing at Month 6-9 IF DTC conversion is strong. Do NOT launch on Amazon before establishing DTC brand.</t>
  </si>
  <si>
    <t xml:space="preserve">Defer to Month 6</t>
  </si>
  <si>
    <t xml:space="preserve">NOTED</t>
  </si>
  <si>
    <t xml:space="preserve">B05</t>
  </si>
  <si>
    <t xml:space="preserve">Product</t>
  </si>
  <si>
    <t xml:space="preserve">No plan for product line expansion</t>
  </si>
  <si>
    <t xml:space="preserve">Running shorts is a single-category business. What's the second product? Third? Without expansion, LTV stays low.</t>
  </si>
  <si>
    <t xml:space="preserve">Logical extensions: (a) Long liner option (7-inch for ultra distances), (b) Winter tight-compatible outer, (c) Running vest/singlet with same modular philosophy, (d) Accessories (buff, cap). Plan Year 2 product roadmap by Month 6.</t>
  </si>
  <si>
    <t xml:space="preserve">Planning exercise, Month 6</t>
  </si>
  <si>
    <t xml:space="preserve">B06</t>
  </si>
  <si>
    <t xml:space="preserve">No plan for colourway refresh or limited editions</t>
  </si>
  <si>
    <t xml:space="preserve">2 colours (Slate Black, Dark Forest) may feel stale after 6 months. Trail running brands thrive on seasonal drops.</t>
  </si>
  <si>
    <t xml:space="preserve">Plan a 3rd colourway for Run 2 or Run 3 based on customer survey data. Seasonal limited editions create urgency and content opportunities.</t>
  </si>
  <si>
    <t xml:space="preserve">Add to Run 2 planning</t>
  </si>
  <si>
    <t xml:space="preserve">B07</t>
  </si>
  <si>
    <t xml:space="preserve">Operations</t>
  </si>
  <si>
    <t xml:space="preserve">No plan for international warranty claims</t>
  </si>
  <si>
    <t xml:space="preserve">EU 2-year guarantee means a French customer can claim a defect 18 months after purchase. How do you handle this operationally?</t>
  </si>
  <si>
    <t xml:space="preserve">At 300 units, handle case-by-case. Send replacement directly. Budget £200/year for warranty claims. Document all claims for product improvement.</t>
  </si>
  <si>
    <t xml:space="preserve">Add to P6A procedures</t>
  </si>
  <si>
    <t xml:space="preserve">B08</t>
  </si>
  <si>
    <t xml:space="preserve">No founder absence/emergency plan</t>
  </si>
  <si>
    <t xml:space="preserve">What if the founder is ill, travels, or has an emergency for 1-2 weeks? All operations stop.</t>
  </si>
  <si>
    <t xml:space="preserve">Pre-train one trusted person (friend/family) on: (a) Shopify order processing, (b) Sendcloud label printing, (c) Customer email responses using templates. Document the daily workflow as an SOP.</t>
  </si>
  <si>
    <t xml:space="preserve">4 hours training</t>
  </si>
  <si>
    <t xml:space="preserve">B09</t>
  </si>
  <si>
    <t xml:space="preserve">Technology</t>
  </si>
  <si>
    <t xml:space="preserve">Shopify single-point-of-failure</t>
  </si>
  <si>
    <t xml:space="preserve">If Shopify has a major outage on launch day (has happened historically), you lose all sales momentum.</t>
  </si>
  <si>
    <t xml:space="preserve">Very Low</t>
  </si>
  <si>
    <t xml:space="preserve">Accept the risk. Shopify has 99.98% uptime. During outage: post on social media that store is temporarily down, capture emails manually, and fulfil orders once restored. Not worth a backup store.</t>
  </si>
  <si>
    <t xml:space="preserve">Accept risk</t>
  </si>
  <si>
    <t xml:space="preserve">ACCEPTED</t>
  </si>
  <si>
    <t xml:space="preserve">B10</t>
  </si>
  <si>
    <t xml:space="preserve">Legal</t>
  </si>
  <si>
    <t xml:space="preserve">Pakistan export documentation may be unfamiliar</t>
  </si>
  <si>
    <t xml:space="preserve">Exporting finished goods from Pakistan to UK requires specific documentation the family factory may never have handled.</t>
  </si>
  <si>
    <t xml:space="preserve">Engage a Lahore-based freight forwarder or export agent who handles documentation. Costa Logistics and Linkers Logistics both offer end-to-end export services including paperwork.</t>
  </si>
  <si>
    <t xml:space="preserve">1 meeting with forwarder</t>
  </si>
  <si>
    <t xml:space="preserve">B11</t>
  </si>
  <si>
    <t xml:space="preserve">Marketing</t>
  </si>
  <si>
    <t xml:space="preserve">Zero plan for if paid ads don't work</t>
  </si>
  <si>
    <t xml:space="preserve">P5A assumes organic works first, then small paid spend. But what if ROAS is &lt;1x even after 3 months of testing?</t>
  </si>
  <si>
    <t xml:space="preserve">If paid ads consistently lose money: (a) Double down on community/event marketing, (b) Invest in wholesale relationships, (c) Consider a trail running subscription box partnership (Trail Crate etc.), (d) Focus on SEO as long-term play and accept slower growth</t>
  </si>
  <si>
    <t xml:space="preserve">Strategic decision at Month 4 → FIX: See Critical_Gap_Fixes_A05_A15_A01.md</t>
  </si>
  <si>
    <t xml:space="preserve">B12</t>
  </si>
  <si>
    <t xml:space="preserve">Snap mechanism is unproven in real conditions</t>
  </si>
  <si>
    <t xml:space="preserve">The 6-point snap system has been designed on paper but never tested on actual trail runs across varied conditions (mud, rain, heat, cold).</t>
  </si>
  <si>
    <t xml:space="preserve">Extensive wear-testing during sampling phase (P2C.6-P2C.8). Budget for 2 extra sampling rounds if snap design needs revision. The snap system is THE differentiator — it must work flawlessly.</t>
  </si>
  <si>
    <t xml:space="preserve">Built into P2C sampling</t>
  </si>
  <si>
    <t xml:space="preserve">PARTIALLY ADDRESSED</t>
  </si>
  <si>
    <t xml:space="preserve">B13</t>
  </si>
  <si>
    <t xml:space="preserve">Currency fluctuation risk on production costs</t>
  </si>
  <si>
    <t xml:space="preserve">COGS are in USD (fabric) and PKR (factory). Revenue is in GBP. A 10% GBP weakening increases COGS by 10%.</t>
  </si>
  <si>
    <t xml:space="preserve">Use Wise rate lock for transfers &gt;£1,000. Price products with 10% FX buffer (already done — current margins absorb 10% swing). Monitor GBP/USD weekly.</t>
  </si>
  <si>
    <t xml:space="preserve">Ongoing monitoring</t>
  </si>
  <si>
    <t xml:space="preserve">B14</t>
  </si>
  <si>
    <t xml:space="preserve">No plan for peak season capacity</t>
  </si>
  <si>
    <t xml:space="preserve">If product goes viral or gets featured in Trail Running Magazine, 50+ orders/day could arrive with only 1 person fulfilling.</t>
  </si>
  <si>
    <t xml:space="preserve">Pre-pack 50 bundles in advance of any major PR push. Identify a same-day courier service for emergency batch drops. Have cardboard boxes ready for 20+ same-day packing sessions.</t>
  </si>
  <si>
    <t xml:space="preserve">1 hour preparation</t>
  </si>
  <si>
    <t xml:space="preserve">B15</t>
  </si>
  <si>
    <t xml:space="preserve">No customer persona validation through actual conversation</t>
  </si>
  <si>
    <t xml:space="preserve">Target customer defined in P0D through desk research. No actual interviews conducted with UK trail runners.</t>
  </si>
  <si>
    <t xml:space="preserve">Conduct 5-10 informal conversations with trail runners at parkrun or local running clubs. Ask: 'What shorts do you wear?', 'What would you change?', 'Would you pay £39 for a modular system?'. This takes one Saturday morning.</t>
  </si>
  <si>
    <t xml:space="preserve">Half day → FIX: See Critical_Gap_Fixes_B01_B15_D01.md</t>
  </si>
  <si>
    <t xml:space="preserve">SECTION 4: SUMMARY — Gap Severity Distribution</t>
  </si>
  <si>
    <t xml:space="preserve">Count</t>
  </si>
  <si>
    <t xml:space="preserve">Items</t>
  </si>
  <si>
    <t xml:space="preserve">CRITICAL GAPS (must fix before launch)</t>
  </si>
  <si>
    <t xml:space="preserve">5 → 0 remaining (all 5 fixes delivered)</t>
  </si>
  <si>
    <t xml:space="preserve">B01 ✅, B15 ✅, D01 ✅ (Round 1), A05 ✅, A15 ✅ (Round 2). All critical gaps now have fix documents.</t>
  </si>
  <si>
    <t xml:space="preserve">HIGH-PRIORITY GAPS (fix within 2 weeks)</t>
  </si>
  <si>
    <t xml:space="preserve">12 → 6 remaining (6 fixes delivered)</t>
  </si>
  <si>
    <t xml:space="preserve">A01 FIX, A03 FIX, A05 FIX, A15 FIX, B02 FIX, B11 FIX DELIVERED. Remaining: A02, A04, A10, A11, A16, B08</t>
  </si>
  <si>
    <t xml:space="preserve">MEDIUM GAPS (address within 30 days)</t>
  </si>
  <si>
    <t xml:space="preserve">8</t>
  </si>
  <si>
    <t xml:space="preserve">A06, A12, A13, A18, B03, B07, B10, B13</t>
  </si>
  <si>
    <t xml:space="preserve">MINOR GAPS / ACCEPTED RISKS</t>
  </si>
  <si>
    <t xml:space="preserve">A07, A09, A14, A20, B04, B06, B09, B14</t>
  </si>
  <si>
    <t xml:space="preserve">1</t>
  </si>
  <si>
    <t xml:space="preserve">D10 (pricing finalised)</t>
  </si>
  <si>
    <t xml:space="preserve">DEPENDENCY BLOCKERS (on critical path)</t>
  </si>
  <si>
    <t xml:space="preserve">5</t>
  </si>
  <si>
    <t xml:space="preserve">D01 brand name, D02 UK Ltd, D03 fabric locked, D05 goods in UK, D08 Shopify live</t>
  </si>
  <si>
    <t xml:space="preserve">SECTION 5: WHAT KILLS THIS BUSINESS — The 5 existential failure modes</t>
  </si>
  <si>
    <t xml:space="preserve">Failure Mode</t>
  </si>
  <si>
    <t xml:space="preserve">How It Happens</t>
  </si>
  <si>
    <t xml:space="preserve">Probability</t>
  </si>
  <si>
    <t xml:space="preserve">Warning Signs</t>
  </si>
  <si>
    <t xml:space="preserve">Time to React</t>
  </si>
  <si>
    <t xml:space="preserve">Survival Action</t>
  </si>
  <si>
    <t xml:space="preserve">Prevention</t>
  </si>
  <si>
    <t xml:space="preserve">K01</t>
  </si>
  <si>
    <t xml:space="preserve">RUN OUT OF CASH BEFORE RUN 2 ARRIVES</t>
  </si>
  <si>
    <t xml:space="preserve">Run 1 sells well (50+ units in 30 days). Founder orders Run 2 at Week 3. Production takes 14 weeks. Meanwhile, Run 1 revenue is £2-3K but Run 2 costs £10K. Founder can't fund the gap.</t>
  </si>
  <si>
    <t xml:space="preserve">HIGH (30-40%)</t>
  </si>
  <si>
    <t xml:space="preserve">Burn rate exceeds revenue by 3x+. Wise balance dropping below £3K. Run 2 deposit due but account can't cover it.</t>
  </si>
  <si>
    <t xml:space="preserve">Apply for Start Up Loan immediately (6% interest, £500-25K). Take pre-orders for Run 2 to generate upfront cash. Negotiate 50/50 payment with factory (pay 50% at delivery, not 30/70). Reduce Run 2 to 300 units.</t>
  </si>
  <si>
    <t xml:space="preserve">Confirm founder capital BEFORE committing to Run 1. Have £8K+ reserve beyond Run 1 costs.</t>
  </si>
  <si>
    <t xml:space="preserve">K02</t>
  </si>
  <si>
    <t xml:space="preserve">PRODUCT DOESN'T FIT / SNAP MECHANISM FAILS</t>
  </si>
  <si>
    <t xml:space="preserve">First 50 customers experience: liner rides up during running, snaps detach on descents, sizing is consistently wrong (40%+ returns). Product fundamentally doesn't work as designed.</t>
  </si>
  <si>
    <t xml:space="preserve">MEDIUM (15-25%)</t>
  </si>
  <si>
    <t xml:space="preserve">Return rate &gt;30% in first month. 3+ snap failure reports. Average review rating &lt;3.5 stars. Repeat purchase rate 0%.</t>
  </si>
  <si>
    <t xml:space="preserve">30-60 days</t>
  </si>
  <si>
    <t xml:space="preserve">Halt marketing spend immediately. Contact every customer personally. Offer full refunds + keep product. Send post-purchase survey to understand specific failures. Redesign snap placement and liner pattern for Run 2. Consider a complete product redesign before reordering.</t>
  </si>
  <si>
    <t xml:space="preserve">Extensive wear-testing during P2C sampling (5+ testers, 30+ trail hours each). 200-cycle snap testing. Compression verification against medical reference. Do NOT skip any sampling round.</t>
  </si>
  <si>
    <t xml:space="preserve">K03</t>
  </si>
  <si>
    <t xml:space="preserve">ZERO TRACTION — NOBODY BUYS</t>
  </si>
  <si>
    <t xml:space="preserve">Launch to &lt;50 waitlist subscribers. First month: 3 orders. Second month: 5 orders. Website gets traffic but conversion is &lt;0.5%. The product has no market demand at this price point in the UK.</t>
  </si>
  <si>
    <t xml:space="preserve">MEDIUM (20-30%)</t>
  </si>
  <si>
    <t xml:space="preserve">&lt;5 orders in first 2 weeks. Conversion rate &lt;0.5% with 500+ sessions. Email open rates &lt;15%. Zero organic social engagement. Zero press coverage despite pitching.</t>
  </si>
  <si>
    <t xml:space="preserve">Do NOT reorder. Test: (a) Drop bundle price to £35, (b) Run £200 Meta campaign to test different audiences, (c) Try selling at trail events in person — if in-person sales work but online doesn't, it's a marketing problem not a product problem. If in-person also fails, it's a product or positioning problem. Consider pivoting to wholesale only.</t>
  </si>
  <si>
    <t xml:space="preserve">Validate demand BEFORE production: (a) Talk to 10 trail runners face-to-face, (b) Run a pre-order campaign, (c) Get 200+ waitlist signups. If waitlist conversion is &lt;5%, reconsider the entire product.</t>
  </si>
  <si>
    <t xml:space="preserve">K04</t>
  </si>
  <si>
    <t xml:space="preserve">FOUNDER BURNOUT LEADS TO ABANDONMENT</t>
  </si>
  <si>
    <t xml:space="preserve">Solo founder managing production, CS, marketing, fulfillment, finance for 6+ months. Working 40+ hours/week with no revenue. Motivation collapses. Brand goes dormant.</t>
  </si>
  <si>
    <t xml:space="preserve">MEDIUM-HIGH (25-35%)</t>
  </si>
  <si>
    <t xml:space="preserve">Founder stops posting content. Customer emails unanswered for 48+ hours. Weekly review skipped. 'I'll do it tomorrow' becomes the default.</t>
  </si>
  <si>
    <t xml:space="preserve">Gradual (4-8 weeks)</t>
  </si>
  <si>
    <t xml:space="preserve">Take a 1-week break before it becomes a crisis. Hire a £10/hr VA for 10 hrs/week to handle CS + fulfillment. Join a founder community (Indie Hackers, r/Entrepreneur, local startup meetup). Set a personal 'quit date' — if metrics aren't improving by [date], sell remaining inventory at cost and move on.</t>
  </si>
  <si>
    <t xml:space="preserve">Set boundaries from Day 1 (P6A.26). Have a backup person trained. Don't do this alone — find a co-founder, advisor, or accountability partner. Celebrate small wins.</t>
  </si>
  <si>
    <t xml:space="preserve">K05</t>
  </si>
  <si>
    <t xml:space="preserve">REGULATORY SHUTDOWN — PRODUCT RECALLED OR BLOCKED AT BORDER</t>
  </si>
  <si>
    <t xml:space="preserve">Fabric contains PFAS above French limits (DWR supplier lied about C0 chemistry). French authorities issue an alert. UK customs flags shipment for non-compliance. REACH test reveals restricted substance above limits.</t>
  </si>
  <si>
    <t xml:space="preserve">LOW (5-10%)</t>
  </si>
  <si>
    <t xml:space="preserve">Customer reports skin reaction. French marketplace flags product. Customs holds shipment for testing. PFAS test shows detectable fluorine.</t>
  </si>
  <si>
    <t xml:space="preserve">Immediate (1-7 days)</t>
  </si>
  <si>
    <t xml:space="preserve">Voluntary recall of all French-sold units. Issue full refunds. Pull product from sale until resolved. Re-test DWR with independent lab. If DWR is non-compliant, re-finish all remaining stock with verified C0 chemistry or source new fabric.</t>
  </si>
  <si>
    <t xml:space="preserve">REACH testing BEFORE production. PFAS-specific test report from DWR chemical supplier. Sealed counter-samples of fabric for independent verification. Never rely solely on supplier's word — always third-party test.</t>
  </si>
  <si>
    <t xml:space="preserve">GAP REGISTER — ALL IDENTIFIED GAPS, ACTIONS &amp; STATUS</t>
  </si>
  <si>
    <t xml:space="preserve">50 gaps identified across 5 categories | 22 fixes delivered | Last updated March 2026</t>
  </si>
  <si>
    <t xml:space="preserve">FIXED: 22</t>
  </si>
  <si>
    <t xml:space="preserve">OPEN (Action Required): 17</t>
  </si>
  <si>
    <t xml:space="preserve">ACCEPTED RISK: 6</t>
  </si>
  <si>
    <t xml:space="preserve">NOTED (Future): 5</t>
  </si>
  <si>
    <t xml:space="preserve">Gap ID</t>
  </si>
  <si>
    <t xml:space="preserve">Gap Description</t>
  </si>
  <si>
    <t xml:space="preserve">Action Required</t>
  </si>
  <si>
    <t xml:space="preserve">Severity</t>
  </si>
  <si>
    <t xml:space="preserve">Owner / Deadline</t>
  </si>
  <si>
    <t xml:space="preserve">Fix Document Reference</t>
  </si>
  <si>
    <t xml:space="preserve">Complete capital assessment worksheet. Determine Scenario A/B/C/D. This sets Run 1 size, marketing budget, and gender launch strategy.</t>
  </si>
  <si>
    <t xml:space="preserve">Founder / Week 1</t>
  </si>
  <si>
    <t xml:space="preserve">Critical_Gap_Fixes_B01_B15_D01.md + P7A Addendum</t>
  </si>
  <si>
    <t xml:space="preserve">P0D</t>
  </si>
  <si>
    <t xml:space="preserve">No customer persona validation through actual conversations</t>
  </si>
  <si>
    <t xml:space="preserve">Conduct 10 trail runner interviews using provided script. Record responses. Apply GO/PIVOT/STOP framework. Capture emails for waitlist.</t>
  </si>
  <si>
    <t xml:space="preserve">Critical_Gap_Fixes_B01_B15_D01.md (Validation Sprint)</t>
  </si>
  <si>
    <t xml:space="preserve">P1A/P1B</t>
  </si>
  <si>
    <t xml:space="preserve">Brand name not selected — blocks ALL downstream work</t>
  </si>
  <si>
    <t xml:space="preserve">Shortlist 5 names → availability screening → test with runners → DECIDE → secure domains + handles + UKIPO within 7 days.</t>
  </si>
  <si>
    <t xml:space="preserve">Critical_Gap_Fixes_B01_B15_D01.md + P1A Addendum</t>
  </si>
  <si>
    <t xml:space="preserve">Sampling timeline has no buffer — #1 cause of missed launch dates</t>
  </si>
  <si>
    <t xml:space="preserve">Revise timeline to 22-26 weeks (add 4-6 week buffer). Add Week 9 Snap Decision Gate. Run parallel workstreams to claw back 4-6 weeks.</t>
  </si>
  <si>
    <t xml:space="preserve">Founder / Before sampling</t>
  </si>
  <si>
    <t xml:space="preserve">Critical_Gap_Fixes_A05_A15_A01.md + P2C Addendum</t>
  </si>
  <si>
    <t xml:space="preserve">No fallback if organic DTC marketing fundamentally underperforms</t>
  </si>
  <si>
    <t xml:space="preserve">Add trail events (Channel #2, 30-80 units) and wholesale (Channel #3, 20-40 units) as backup revenue. Apply 'Nothing Working' decision tree at Month 3/6/9.</t>
  </si>
  <si>
    <t xml:space="preserve">Founder / Before launch</t>
  </si>
  <si>
    <t xml:space="preserve">Critical_Gap_Fixes_A05_A15_A01.md + P5A Addendum</t>
  </si>
  <si>
    <t xml:space="preserve">Manufacturing</t>
  </si>
  <si>
    <t xml:space="preserve">Sialkot factories never contacted — entire manufacturing plan is theoretical</t>
  </si>
  <si>
    <t xml:space="preserve">Send WhatsApp messages to all 3 factories NOW. Score on 6-criteria matrix (/30). If all fail, expand via Sialkot Chamber (40+ factories).</t>
  </si>
  <si>
    <t xml:space="preserve">Founder / This week</t>
  </si>
  <si>
    <t xml:space="preserve">Critical_Gap_Fixes_A05_A15_A01.md + P2A Addendum</t>
  </si>
  <si>
    <t xml:space="preserve">Family factory upskilling assumed but not assessed</t>
  </si>
  <si>
    <t xml:space="preserve">Visit family factory. Complete 12-point capability audit checklist. Score: 10-12=ready, 7-9=partial, &lt;7=packing hub only.</t>
  </si>
  <si>
    <t xml:space="preserve">P2A Addendum (X3: Factory Audit Checklist)</t>
  </si>
  <si>
    <t xml:space="preserve">OPEN</t>
  </si>
  <si>
    <t xml:space="preserve">Chinese fabric suppliers never messaged — no samples ordered</t>
  </si>
  <si>
    <t xml:space="preserve">Message 6-8 Alibaba suppliers simultaneously. Score on 7-criteria matrix (/35). Order samples from top 2-3 ($30-80). Apply 5 quality gates before spending.</t>
  </si>
  <si>
    <t xml:space="preserve">Critical_Gap_Fixes_A05_A15_A01.md + P2B Addendum</t>
  </si>
  <si>
    <t xml:space="preserve">C0 DWR performance unverified from any actual supplier</t>
  </si>
  <si>
    <t xml:space="preserve">Request DWR test data (AATCC 22 score) from fabric suppliers with samples. Test sample fabric with water spray yourself. If score &lt;80, switch to Archroma Pakistan.</t>
  </si>
  <si>
    <t xml:space="preserve">Founder / When samples arrive</t>
  </si>
  <si>
    <t xml:space="preserve">P2B Addendum (Quality Gate G2)</t>
  </si>
  <si>
    <t xml:space="preserve">Pricing</t>
  </si>
  <si>
    <t xml:space="preserve">£39 bundle price point untested with actual customers</t>
  </si>
  <si>
    <t xml:space="preserve">Include price question in customer validation interviews (B15). If 7+ of 10 say 'about right' or 'affordable', price is validated. If &lt;4, test £35.</t>
  </si>
  <si>
    <t xml:space="preserve">Founder / During B15 interviews</t>
  </si>
  <si>
    <t xml:space="preserve">Critical_Gap_Fixes_B01_B15_D01.md (Q5)</t>
  </si>
  <si>
    <t xml:space="preserve">60% bundle adoption rate is pure assumption</t>
  </si>
  <si>
    <t xml:space="preserve">Cannot validate pre-launch. Track bundle attach rate from Day 1. If &lt;40% after 50 orders, increase bundle discount to 15% and redesign product page.</t>
  </si>
  <si>
    <t xml:space="preserve">Founder / Month 1-2</t>
  </si>
  <si>
    <t xml:space="preserve">P4A.8 (Bundle Psychology)</t>
  </si>
  <si>
    <t xml:space="preserve">Solo founder managing all operations is unsustainable beyond 3-6 months</t>
  </si>
  <si>
    <t xml:space="preserve">Pre-identify (don't hire) a VA before launch. Train a friend/family on packing as Week 1 backup. Set 25 hr/week ceiling — if exceeded for 2+ weeks, hire VA.</t>
  </si>
  <si>
    <t xml:space="preserve">P6A.21 + P6A.26</t>
  </si>
  <si>
    <t xml:space="preserve">No wholesale or retail backup channel — 100% DTC reliance</t>
  </si>
  <si>
    <t xml:space="preserve">Identify 8 UK indie running shops. Draft wholesale outreach email. Start outreach at Month 2-3. Terms: 50% of RRP, MOQ 6 units, Net 30.</t>
  </si>
  <si>
    <t xml:space="preserve">Founder / Month 2-3</t>
  </si>
  <si>
    <t xml:space="preserve">No founder absence/emergency plan — single point of failure</t>
  </si>
  <si>
    <t xml:space="preserve">Pre-train one person (friend/family) on: Shopify order processing, Sendcloud labels, CS email templates. Document daily workflow as 1-page SOP. Takes 4 hours.</t>
  </si>
  <si>
    <t xml:space="preserve">P6A.26 + P6A.3</t>
  </si>
  <si>
    <t xml:space="preserve">No plan for if paid ads consistently deliver &lt;1x ROAS</t>
  </si>
  <si>
    <t xml:space="preserve">If paid ads fail after 3 months: double down on events/community, pursue wholesale, consider trail running subscription box partnerships. Decision at Month 4.</t>
  </si>
  <si>
    <t xml:space="preserve">Founder / Month 4</t>
  </si>
  <si>
    <t xml:space="preserve">Snap mechanism unproven in real trail conditions</t>
  </si>
  <si>
    <t xml:space="preserve">Budget for extensive wear-testing during P2C sampling: 5+ testers, 30+ trail hours each, 200-cycle snap testing. If snaps fail, pivot to Velcro at Week 9 gate.</t>
  </si>
  <si>
    <t xml:space="preserve">Founder / During sampling</t>
  </si>
  <si>
    <t xml:space="preserve">Critical_Gap_Fixes_A05_A15_A01.md (Snap Fallback) + P2A Addendum</t>
  </si>
  <si>
    <t xml:space="preserve">P1C</t>
  </si>
  <si>
    <t xml:space="preserve">UK Ltd not yet formed — blocks payments, VAT, banking, EORI, imports</t>
  </si>
  <si>
    <t xml:space="preserve">Register UK Ltd online (1-2 days). Open Wise Business (1-3 weeks verification). Apply for VAT (2-8 weeks). Start 6+ weeks before first import.</t>
  </si>
  <si>
    <t xml:space="preserve">Founder / Immediately</t>
  </si>
  <si>
    <t xml:space="preserve">P1C_UK_Ltd_Formation_Guide.md</t>
  </si>
  <si>
    <t xml:space="preserve">P2B/P2C</t>
  </si>
  <si>
    <t xml:space="preserve">Fabric not locked — if fabric changes after patterns cut, restart required</t>
  </si>
  <si>
    <t xml:space="preserve">Approve fabric at Quality Gate G1 (sample inspection). Lock spec. Do NOT change fabric after fit sample Round 1. Quality gates G1-G5 prevent downstream cascade.</t>
  </si>
  <si>
    <t xml:space="preserve">Critical_Gap_Fixes_A05_A15_A01.md + P2B Addendum (Quality Gates)</t>
  </si>
  <si>
    <t xml:space="preserve">Goods not in UK = no launch. First-time importer customs risk.</t>
  </si>
  <si>
    <t xml:space="preserve">Apply for EORI number early. Use experienced customs broker. Factor 5-10 extra days for Red Channel inspection. Don't announce launch date until goods clear customs.</t>
  </si>
  <si>
    <t xml:space="preserve">Founder / Pre-import</t>
  </si>
  <si>
    <t xml:space="preserve">P3A + P9A.13</t>
  </si>
  <si>
    <t xml:space="preserve">VAT not registered — blocks PVA on imports and legal pricing</t>
  </si>
  <si>
    <t xml:space="preserve">Apply for voluntary VAT registration 8+ weeks before first import. HMRC processing takes 2-8 weeks. Use Xero for MTD-compliant returns.</t>
  </si>
  <si>
    <t xml:space="preserve">Founder / 8 weeks pre-import</t>
  </si>
  <si>
    <t xml:space="preserve">P7A.4</t>
  </si>
  <si>
    <t xml:space="preserve">15-20 mmHg compression target unverified with actual fabric</t>
  </si>
  <si>
    <t xml:space="preserve">Compare liner compression to a known medical garment using the wrapped-tube method (P2C). If too low, increase spandex to 25% or increase negative ease.</t>
  </si>
  <si>
    <t xml:space="preserve">P2C.7 (Compression Engineering)</t>
  </si>
  <si>
    <t xml:space="preserve">Supply Chain</t>
  </si>
  <si>
    <t xml:space="preserve">Air freight £1-2.50/unit based on research, not actual quotes</t>
  </si>
  <si>
    <t xml:space="preserve">Get 2-3 freight quotes from Lahore forwarders (Costa, Linkers, SINO) once production is confirmed. Budget £3/unit worst case.</t>
  </si>
  <si>
    <t xml:space="preserve">Founder / Pre-shipment</t>
  </si>
  <si>
    <t xml:space="preserve">P3A.1 + P2B.9</t>
  </si>
  <si>
    <t xml:space="preserve">DCTS 0% duty assumed but not verified with BTI ruling</t>
  </si>
  <si>
    <t xml:space="preserve">Apply for Binding Tariff Information from HMRC before first shipment. Confirms HS code and duty rate. Free, takes 2-4 weeks.</t>
  </si>
  <si>
    <t xml:space="preserve">P3A.2 + P9A.13</t>
  </si>
  <si>
    <t xml:space="preserve">15-25% return rate assumed — could be higher for modular product</t>
  </si>
  <si>
    <t xml:space="preserve">Track return rate from Day 1 by SKU and reason. If &gt;25% after 30 returns, investigate sizing. If &gt;30%, halt marketing and fix fit. Invest in size guide upfront.</t>
  </si>
  <si>
    <t xml:space="preserve">Founder / Month 1-3</t>
  </si>
  <si>
    <t xml:space="preserve">P6A.8 + P6A.14 (Post-Purchase Survey)</t>
  </si>
  <si>
    <t xml:space="preserve">200-300 waitlist subscribers in 8 weeks is aspirational</t>
  </si>
  <si>
    <t xml:space="preserve">If &lt;100 at launch: launch anyway. Shift to paid social earlier. Increase influencer seeding. Don't delay launch for list size.</t>
  </si>
  <si>
    <t xml:space="preserve">Founder / Pre-launch</t>
  </si>
  <si>
    <t xml:space="preserve">P5A.1-P5A.3</t>
  </si>
  <si>
    <t xml:space="preserve">10-14 week lead time estimated, not based on actual production cycle</t>
  </si>
  <si>
    <t xml:space="preserve">First run will be the benchmark. Plan for 16-18 weeks worst case. Consider air-freighting 50-unit emergency batch if sea freight delayed.</t>
  </si>
  <si>
    <t xml:space="preserve">Founder / During Run 1</t>
  </si>
  <si>
    <t xml:space="preserve">P3A + P6A.17</t>
  </si>
  <si>
    <t xml:space="preserve">EU GPSR responsible person not yet identified</t>
  </si>
  <si>
    <t xml:space="preserve">Appoint EU responsible person (€200-500/yr) before first EU sale. Check if IOSS intermediary also offers GPSR service.</t>
  </si>
  <si>
    <t xml:space="preserve">Founder / Before EU sales</t>
  </si>
  <si>
    <t xml:space="preserve">P9A.4.2</t>
  </si>
  <si>
    <t xml:space="preserve">—</t>
  </si>
  <si>
    <t xml:space="preserve">No competitive response analysis (Path Projects price drop or women's launch)</t>
  </si>
  <si>
    <t xml:space="preserve">Monitor Path Projects site monthly. Your moat: UK/EU-first, inclusive sizing, lower price. A competitive response is unlikely in 12 months but possible.</t>
  </si>
  <si>
    <t xml:space="preserve">Founder / Monthly</t>
  </si>
  <si>
    <t xml:space="preserve">P0A (Market Intelligence)</t>
  </si>
  <si>
    <t xml:space="preserve">No plan for international warranty claims (EU 2-year guarantee)</t>
  </si>
  <si>
    <t xml:space="preserve">Handle case-by-case at 300 units. Send replacement directly. Budget £200/year. Document all claims.</t>
  </si>
  <si>
    <t xml:space="preserve">Founder / As needed</t>
  </si>
  <si>
    <t xml:space="preserve">P6A + P9A.3</t>
  </si>
  <si>
    <t xml:space="preserve">P3A/P9A</t>
  </si>
  <si>
    <t xml:space="preserve">Pakistan export documentation may be unfamiliar to family factory</t>
  </si>
  <si>
    <t xml:space="preserve">Engage a Lahore-based freight forwarder (Costa, Linkers) who handles all documentation. One meeting to set up.</t>
  </si>
  <si>
    <t xml:space="preserve">Currency fluctuation risk on GBP/PKR and GBP/USD</t>
  </si>
  <si>
    <t xml:space="preserve">Use Wise rate lock for transfers &gt;£1K. Products priced with 10% FX buffer. Monitor GBP/USD weekly.</t>
  </si>
  <si>
    <t xml:space="preserve">Founder / Ongoing</t>
  </si>
  <si>
    <t xml:space="preserve">P7A.15 (Risk Register)</t>
  </si>
  <si>
    <t xml:space="preserve">PP sample must be approved before cutting bulk fabric</t>
  </si>
  <si>
    <t xml:space="preserve">Budget 2 extra sampling rounds. PP sample is the final GO/NO-GO gate. Do NOT cut bulk fabric on an unapproved PP.</t>
  </si>
  <si>
    <t xml:space="preserve">P2C Addendum (Revised Timeline)</t>
  </si>
  <si>
    <t xml:space="preserve">Weak email list = weak launch day</t>
  </si>
  <si>
    <t xml:space="preserve">If list &lt;100 at launch: not fatal. First-week sales may be &lt;5 orders. Supplement with influencer posts and social media push.</t>
  </si>
  <si>
    <t xml:space="preserve">P1D</t>
  </si>
  <si>
    <t xml:space="preserve">Logo/branding must exist before product photography, packaging, website</t>
  </si>
  <si>
    <t xml:space="preserve">Commission designer immediately after brand name selected. Allow 7-21 days. If designer is late, use text-only branding for launch and add logo later.</t>
  </si>
  <si>
    <t xml:space="preserve">Founder / After D01 resolved</t>
  </si>
  <si>
    <t xml:space="preserve">P1_Remaining_Execution_Docs.md</t>
  </si>
  <si>
    <t xml:space="preserve">Pricing must be finalised before Shopify products, marketing, packaging</t>
  </si>
  <si>
    <t xml:space="preserve">Revised pricing (£28/£15/£39/£49) is final. No further changes needed.</t>
  </si>
  <si>
    <t xml:space="preserve">P4A.3 (Revised Pricing)</t>
  </si>
  <si>
    <t xml:space="preserve">P3A/P6A</t>
  </si>
  <si>
    <t xml:space="preserve">Self-fulfillment at 5-15 orders/day assumed manageable</t>
  </si>
  <si>
    <t xml:space="preserve">Pre-pack 50 bundles before launch. Identify helper for Week 1 if surge exceeds 30 orders/day.</t>
  </si>
  <si>
    <t xml:space="preserve">P6A.3-P6A.4</t>
  </si>
  <si>
    <t xml:space="preserve">Micro-influencer gifting: only 3-5 posts may result from 25 units</t>
  </si>
  <si>
    <t xml:space="preserve">Shift remaining units to ambassador barter (content required) if no-strings gifting underperforms. 3-5 posts still valuable.</t>
  </si>
  <si>
    <t xml:space="preserve">P5A.12-P5A.14</t>
  </si>
  <si>
    <t xml:space="preserve">Total Year 1 cash need is £23-28K — may exceed available capital</t>
  </si>
  <si>
    <t xml:space="preserve">Addressed by B01 capital assessment. Founder determines scenario, all downstream decisions follow.</t>
  </si>
  <si>
    <t xml:space="preserve">B01 fix resolves this</t>
  </si>
  <si>
    <t xml:space="preserve">France Refashion/CITEO registration process unknown</t>
  </si>
  <si>
    <t xml:space="preserve">Identify mandataire. Defer French marketing until compliance complete. France is market #2, not #1.</t>
  </si>
  <si>
    <t xml:space="preserve">Founder / Pre-France sales</t>
  </si>
  <si>
    <t xml:space="preserve">P9A.15</t>
  </si>
  <si>
    <t xml:space="preserve">Shopify single-point-of-failure on launch day</t>
  </si>
  <si>
    <t xml:space="preserve">Accept risk. Shopify 99.98% uptime. During outage: post on social, capture emails manually.</t>
  </si>
  <si>
    <t xml:space="preserve">P8A.16 (Backup)</t>
  </si>
  <si>
    <t xml:space="preserve">No peak season capacity plan if product goes viral</t>
  </si>
  <si>
    <t xml:space="preserve">Pre-pack 50 bundles before PR pushes. Have boxes ready for 20+ same-day packing. Identify same-day courier.</t>
  </si>
  <si>
    <t xml:space="preserve">Shopify must be fully configured before launch</t>
  </si>
  <si>
    <t xml:space="preserve">Full test order 1 week before launch. 30-item technical launch checklist in P8A.17. 3-day buffer before go-live.</t>
  </si>
  <si>
    <t xml:space="preserve">Founder / Week before launch</t>
  </si>
  <si>
    <t xml:space="preserve">P8A.17 (Launch Checklist)</t>
  </si>
  <si>
    <t xml:space="preserve">No Amazon marketplace strategy</t>
  </si>
  <si>
    <t xml:space="preserve">Defer to Month 6-9. Do NOT launch on Amazon before DTC brand established. Same RRP, no discounting.</t>
  </si>
  <si>
    <t xml:space="preserve">Month 6-9</t>
  </si>
  <si>
    <t xml:space="preserve">P5A Addendum</t>
  </si>
  <si>
    <t xml:space="preserve">DEFERRED</t>
  </si>
  <si>
    <t xml:space="preserve">No product line expansion plan (second product, third product)</t>
  </si>
  <si>
    <t xml:space="preserve">Plan Year 2 roadmap by Month 6. Logical extensions: long liner, winter tight-compatible outer, running vest.</t>
  </si>
  <si>
    <t xml:space="preserve">Month 6</t>
  </si>
  <si>
    <t xml:space="preserve">Future planning</t>
  </si>
  <si>
    <t xml:space="preserve">No colourway refresh or limited edition plan</t>
  </si>
  <si>
    <t xml:space="preserve">Add 3rd colourway for Run 2 or Run 3 based on customer survey data. Seasonal drops create urgency.</t>
  </si>
  <si>
    <t xml:space="preserve">Run 2 planning</t>
  </si>
  <si>
    <t xml:space="preserve">Kill Risk</t>
  </si>
  <si>
    <t xml:space="preserve">Run out of cash before Run 2 arrives (30-40% probability)</t>
  </si>
  <si>
    <t xml:space="preserve">Confirm capital (B01). Have £8K+ reserve beyond Run 1. Consider pre-orders. Apply for Start Up Loan early.</t>
  </si>
  <si>
    <t xml:space="preserve">KILL RISK</t>
  </si>
  <si>
    <t xml:space="preserve">Founder / Before committing</t>
  </si>
  <si>
    <t xml:space="preserve">B01 fix + P7A.9-P7A.10</t>
  </si>
  <si>
    <t xml:space="preserve">Product doesn't fit / snaps fail (15-25% probability)</t>
  </si>
  <si>
    <t xml:space="preserve">Extensive wear-testing. Don't skip sampling rounds. 200-cycle snap test. Velcro fallback at Week 9 gate.</t>
  </si>
  <si>
    <t xml:space="preserve">A05 fix + P2A/P2C Addenda</t>
  </si>
  <si>
    <t xml:space="preserve">Zero traction — nobody buys (20-30% probability)</t>
  </si>
  <si>
    <t xml:space="preserve">Validate demand pre-production (B15). If GO: execute. If Month 6 &lt;25 units, pivot to wholesale clearance.</t>
  </si>
  <si>
    <t xml:space="preserve">Founder / Month 3-6</t>
  </si>
  <si>
    <t xml:space="preserve">B15 fix + A15 fix + decision tree</t>
  </si>
  <si>
    <t xml:space="preserve">Founder burnout leads to abandonment (25-35% probability)</t>
  </si>
  <si>
    <t xml:space="preserve">Boundaries from Day 1. 25 hr/week ceiling. Hire VA early. Find accountability partner. Celebrate wins.</t>
  </si>
  <si>
    <t xml:space="preserve">P6A.26 + A16/B08 fixes</t>
  </si>
  <si>
    <t xml:space="preserve">Regulatory shutdown / product recall (5-10% probability)</t>
  </si>
  <si>
    <t xml:space="preserve">REACH test before production. PFAS test from DWR supplier. Third-party verify. Product liability insurance.</t>
  </si>
  <si>
    <t xml:space="preserve">Founder / Before production</t>
  </si>
  <si>
    <t xml:space="preserve">P9A.6-P9A.7 + P9A.14</t>
  </si>
  <si>
    <t xml:space="preserve">P0: MARKET RESEARCH &amp; CONCEPT VALIDATION  |  Weeks 1-8</t>
  </si>
  <si>
    <t xml:space="preserve">ID</t>
  </si>
  <si>
    <t xml:space="preserve">Task</t>
  </si>
  <si>
    <t xml:space="preserve">Timeline</t>
  </si>
  <si>
    <t xml:space="preserve">Priority</t>
  </si>
  <si>
    <t xml:space="preserve">KPI / Metric</t>
  </si>
  <si>
    <t xml:space="preserve">Target</t>
  </si>
  <si>
    <t xml:space="preserve">Deliverable / Document</t>
  </si>
  <si>
    <t xml:space="preserve">% Done</t>
  </si>
  <si>
    <t xml:space="preserve">Notes / Evidence</t>
  </si>
  <si>
    <t xml:space="preserve">0A: Running Shorts Market Intelligence (Wk 1-3)</t>
  </si>
  <si>
    <t xml:space="preserve">0.01</t>
  </si>
  <si>
    <t xml:space="preserve">0A</t>
  </si>
  <si>
    <t xml:space="preserve">Map all running shorts across 4 pricing tiers ($0-25, $25-50, $50-80, $80+)</t>
  </si>
  <si>
    <t xml:space="preserve">Wk 1-2</t>
  </si>
  <si>
    <t xml:space="preserve">High</t>
  </si>
  <si>
    <t xml:space="preserve">Products mapped with full specs</t>
  </si>
  <si>
    <t xml:space="preserve">15+ (A) / 25+ (B)</t>
  </si>
  <si>
    <t xml:space="preserve">Desk research complete — see P0 deliverable docs</t>
  </si>
  <si>
    <t xml:space="preserve">0.02</t>
  </si>
  <si>
    <t xml:space="preserve">Build competitive pricing database (brand, model, price, features)</t>
  </si>
  <si>
    <t xml:space="preserve">Pricing database complete</t>
  </si>
  <si>
    <t xml:space="preserve">All 4 tiers documented</t>
  </si>
  <si>
    <t xml:space="preserve">Google Sheets</t>
  </si>
  <si>
    <t xml:space="preserve">0.03</t>
  </si>
  <si>
    <t xml:space="preserve">Document fabric composition, seam type, pocket count for each competitor</t>
  </si>
  <si>
    <t xml:space="preserve">Wk 2</t>
  </si>
  <si>
    <t xml:space="preserve">Feature comparison matrix</t>
  </si>
  <si>
    <t xml:space="preserve">Every feature scored</t>
  </si>
  <si>
    <t xml:space="preserve">0.04</t>
  </si>
  <si>
    <t xml:space="preserve">Audit phone pocket dimensions vs iPhone 16 Pro Max (160.9x77.6mm)</t>
  </si>
  <si>
    <t xml:space="preserve">Wk 2-3</t>
  </si>
  <si>
    <t xml:space="preserve">Phone pocket audit complete</t>
  </si>
  <si>
    <t xml:space="preserve">All competitor pockets measured</t>
  </si>
  <si>
    <t xml:space="preserve">0.05</t>
  </si>
  <si>
    <t xml:space="preserve">Map Amazon BSR rankings &amp; review volume for top 15 shorts</t>
  </si>
  <si>
    <t xml:space="preserve">Med</t>
  </si>
  <si>
    <t xml:space="preserve">BSR data captured</t>
  </si>
  <si>
    <t xml:space="preserve">15+ products tracked</t>
  </si>
  <si>
    <t xml:space="preserve">Scenario B</t>
  </si>
  <si>
    <t xml:space="preserve">0.06</t>
  </si>
  <si>
    <t xml:space="preserve">Analyze SimilarWeb traffic for Path Projects, Rabbit, Janji</t>
  </si>
  <si>
    <t xml:space="preserve">Wk 3</t>
  </si>
  <si>
    <t xml:space="preserve">Traffic estimates documented</t>
  </si>
  <si>
    <t xml:space="preserve">3+ brand sites analyzed</t>
  </si>
  <si>
    <t xml:space="preserve">Free trial</t>
  </si>
  <si>
    <t xml:space="preserve">0.07</t>
  </si>
  <si>
    <t xml:space="preserve">Document seasonal sales patterns from Google Trends data</t>
  </si>
  <si>
    <t xml:space="preserve">Seasonality chart created</t>
  </si>
  <si>
    <t xml:space="preserve">12-month trend mapped</t>
  </si>
  <si>
    <t xml:space="preserve">0B: Consumer Pain Point Deep-Dive (Wk 1-4)</t>
  </si>
  <si>
    <t xml:space="preserve">0.08</t>
  </si>
  <si>
    <t xml:space="preserve">0B</t>
  </si>
  <si>
    <t xml:space="preserve">Mine r/trailrunning for shorts-specific complaints (200+ threads)</t>
  </si>
  <si>
    <t xml:space="preserve">Wk 1-3</t>
  </si>
  <si>
    <t xml:space="preserve">Threads analyzed</t>
  </si>
  <si>
    <t xml:space="preserve">200+ across 4+ communities</t>
  </si>
  <si>
    <t xml:space="preserve">0.09</t>
  </si>
  <si>
    <t xml:space="preserve">Categorize liner chafing complaints (location, distance threshold)</t>
  </si>
  <si>
    <t xml:space="preserve">Chafing frequency per 100 threads</t>
  </si>
  <si>
    <t xml:space="preserve">Quantified with distance data</t>
  </si>
  <si>
    <t xml:space="preserve">0.10</t>
  </si>
  <si>
    <t xml:space="preserve">Categorize phone pocket complaints (model, bounce, location pref)</t>
  </si>
  <si>
    <t xml:space="preserve">Phone complaints quantified</t>
  </si>
  <si>
    <t xml:space="preserve">Models + preferences ranked</t>
  </si>
  <si>
    <t xml:space="preserve">0.11</t>
  </si>
  <si>
    <t xml:space="preserve">Compile verbatim consumer quotes for marketing &amp; product spec</t>
  </si>
  <si>
    <t xml:space="preserve">Wk 2-4</t>
  </si>
  <si>
    <t xml:space="preserve">Usable quotes collected</t>
  </si>
  <si>
    <t xml:space="preserve">75+ quotes</t>
  </si>
  <si>
    <t xml:space="preserve">Quote database</t>
  </si>
  <si>
    <t xml:space="preserve">0.12</t>
  </si>
  <si>
    <t xml:space="preserve">Map inseam preference by gender and body type</t>
  </si>
  <si>
    <t xml:space="preserve">Wk 3-4</t>
  </si>
  <si>
    <t xml:space="preserve">Inseam data compiled</t>
  </si>
  <si>
    <t xml:space="preserve">Distribution by gender</t>
  </si>
  <si>
    <t xml:space="preserve">0.13</t>
  </si>
  <si>
    <t xml:space="preserve">Analyze women-specific shorts complaints (r/WomensRunning, Trail Sisters)</t>
  </si>
  <si>
    <t xml:space="preserve">Women's pain points documented</t>
  </si>
  <si>
    <t xml:space="preserve">50+ women-specific complaints</t>
  </si>
  <si>
    <t xml:space="preserve">0.14</t>
  </si>
  <si>
    <t xml:space="preserve">Identify size availability frustrations and brand-switching triggers</t>
  </si>
  <si>
    <t xml:space="preserve">Switch triggers ranked</t>
  </si>
  <si>
    <t xml:space="preserve">Top 5 triggers identified</t>
  </si>
  <si>
    <t xml:space="preserve">0C: Physical Competitor Product Teardown (Wk 2-5)</t>
  </si>
  <si>
    <t xml:space="preserve">0.15</t>
  </si>
  <si>
    <t xml:space="preserve">0C</t>
  </si>
  <si>
    <t xml:space="preserve">Purchase 6-8 competitor shorts (Path Projects, Terignota, Rabbit, etc.)</t>
  </si>
  <si>
    <t xml:space="preserve">Products purchased</t>
  </si>
  <si>
    <t xml:space="preserve">6 (A) / 8 (B)</t>
  </si>
  <si>
    <t xml:space="preserve">$350-$1,400</t>
  </si>
  <si>
    <t xml:space="preserve">0.16</t>
  </si>
  <si>
    <t xml:space="preserve">Ship competitor products to Pakistan factory for technical analysis</t>
  </si>
  <si>
    <t xml:space="preserve">Products received at factory</t>
  </si>
  <si>
    <t xml:space="preserve">All shipped</t>
  </si>
  <si>
    <t xml:space="preserve">0.17</t>
  </si>
  <si>
    <t xml:space="preserve">Measure fabric GSM, stretch %, seam type, thread count per product</t>
  </si>
  <si>
    <t xml:space="preserve">Fabric specs documented</t>
  </si>
  <si>
    <t xml:space="preserve">All products measured</t>
  </si>
  <si>
    <t xml:space="preserve">0.18</t>
  </si>
  <si>
    <t xml:space="preserve">Measure all pocket dimensions (width, depth, opening) for each product</t>
  </si>
  <si>
    <t xml:space="preserve">Pocket dimensions mapped</t>
  </si>
  <si>
    <t xml:space="preserve">Compared to iPhone 16 PM</t>
  </si>
  <si>
    <t xml:space="preserve">0.19</t>
  </si>
  <si>
    <t xml:space="preserve">Document Path Projects liner attachment mechanism in detail</t>
  </si>
  <si>
    <t xml:space="preserve">Critical</t>
  </si>
  <si>
    <t xml:space="preserve">Mechanism documented</t>
  </si>
  <si>
    <t xml:space="preserve">Attachment type, hardware, cycle count</t>
  </si>
  <si>
    <t xml:space="preserve">0.20</t>
  </si>
  <si>
    <t xml:space="preserve">Reverse-engineer BOM for each competitor product</t>
  </si>
  <si>
    <t xml:space="preserve">Wk 4-5</t>
  </si>
  <si>
    <t xml:space="preserve">BOM reverse-engineered</t>
  </si>
  <si>
    <t xml:space="preserve">Fabric + trim + labor breakdown</t>
  </si>
  <si>
    <t xml:space="preserve">0.21</t>
  </si>
  <si>
    <t xml:space="preserve">Identify 3+ construction quality gaps in budget products</t>
  </si>
  <si>
    <t xml:space="preserve">Quality gaps identified</t>
  </si>
  <si>
    <t xml:space="preserve">3+ areas documented</t>
  </si>
  <si>
    <t xml:space="preserve">0.22</t>
  </si>
  <si>
    <t xml:space="preserve">Lab test DWR spray rating on 3-4 competitor products (Scenario B)</t>
  </si>
  <si>
    <t xml:space="preserve">DWR ratings documented</t>
  </si>
  <si>
    <t xml:space="preserve">AATCC 22 test results</t>
  </si>
  <si>
    <t xml:space="preserve">$50-100/sample</t>
  </si>
  <si>
    <t xml:space="preserve">0D: Target Customer Interviews (Wk 3-6)</t>
  </si>
  <si>
    <t xml:space="preserve">0.23</t>
  </si>
  <si>
    <t xml:space="preserve">0D</t>
  </si>
  <si>
    <t xml:space="preserve">Design structured interview guide (liner pref, phone carry, WTP, etc.)</t>
  </si>
  <si>
    <t xml:space="preserve">Interview guide complete</t>
  </si>
  <si>
    <t xml:space="preserve">Covers all key topics</t>
  </si>
  <si>
    <t xml:space="preserve">0.24</t>
  </si>
  <si>
    <t xml:space="preserve">Recruit interviewees from Reddit/Strava (3 segments)</t>
  </si>
  <si>
    <t xml:space="preserve">Interviewees recruited</t>
  </si>
  <si>
    <t xml:space="preserve">15 (A) / 25 (B)</t>
  </si>
  <si>
    <t xml:space="preserve">$10-20 incentive each</t>
  </si>
  <si>
    <t xml:space="preserve">0.25</t>
  </si>
  <si>
    <t xml:space="preserve">Conduct 1-on-1 interviews (budget runners, premium buyers, women)</t>
  </si>
  <si>
    <t xml:space="preserve">Wk 4-6</t>
  </si>
  <si>
    <t xml:space="preserve">Interviews completed</t>
  </si>
  <si>
    <t xml:space="preserve">0.26</t>
  </si>
  <si>
    <t xml:space="preserve">Confirm liner preference distribution (pro/anti/modular split)</t>
  </si>
  <si>
    <t xml:space="preserve">Wk 5-6</t>
  </si>
  <si>
    <t xml:space="preserve">Liner pref quantified</t>
  </si>
  <si>
    <t xml:space="preserve">Split confirmed</t>
  </si>
  <si>
    <t xml:space="preserve">0.27</t>
  </si>
  <si>
    <t xml:space="preserve">Run price sensitivity analysis (Van Westendorp or Gabor-Granger)</t>
  </si>
  <si>
    <t xml:space="preserve">Optimal price validated</t>
  </si>
  <si>
    <t xml:space="preserve">Within $3 of $35 target</t>
  </si>
  <si>
    <t xml:space="preserve">0.28</t>
  </si>
  <si>
    <t xml:space="preserve">Deploy survey to broader audience for quantitative validation</t>
  </si>
  <si>
    <t xml:space="preserve">Survey responses collected</t>
  </si>
  <si>
    <t xml:space="preserve">100+ (A) / 250+ (B)</t>
  </si>
  <si>
    <t xml:space="preserve">0.29</t>
  </si>
  <si>
    <t xml:space="preserve">Rank must-have features from both interviews and survey</t>
  </si>
  <si>
    <t xml:space="preserve">Wk 6</t>
  </si>
  <si>
    <t xml:space="preserve">Feature priority confirmed</t>
  </si>
  <si>
    <t xml:space="preserve">Top 5 ranked</t>
  </si>
  <si>
    <t xml:space="preserve">0E: Social Concept Testing &amp; Pre-Order Validation (Wk 5-8)</t>
  </si>
  <si>
    <t xml:space="preserve">0.30</t>
  </si>
  <si>
    <t xml:space="preserve">0E</t>
  </si>
  <si>
    <t xml:space="preserve">Create digital mockups / 3D renders of modular shorts concept</t>
  </si>
  <si>
    <t xml:space="preserve">Designer</t>
  </si>
  <si>
    <t xml:space="preserve">Wk 5</t>
  </si>
  <si>
    <t xml:space="preserve">Mockups created</t>
  </si>
  <si>
    <t xml:space="preserve">3 colorways rendered</t>
  </si>
  <si>
    <t xml:space="preserve">$50-800</t>
  </si>
  <si>
    <t xml:space="preserve">0.31</t>
  </si>
  <si>
    <t xml:space="preserve">Post concept on r/trailrunning with problem-solution framing</t>
  </si>
  <si>
    <t xml:space="preserve">Reddit engagement</t>
  </si>
  <si>
    <t xml:space="preserve">150+ upvotes, 75+ comments</t>
  </si>
  <si>
    <t xml:space="preserve">0.32</t>
  </si>
  <si>
    <t xml:space="preserve">Analyze Reddit sentiment (positive/neutral/negative coding)</t>
  </si>
  <si>
    <t xml:space="preserve">Wk 6-7</t>
  </si>
  <si>
    <t xml:space="preserve">Sentiment ratio</t>
  </si>
  <si>
    <t xml:space="preserve">70%+ positive/neutral</t>
  </si>
  <si>
    <t xml:space="preserve">0.33</t>
  </si>
  <si>
    <t xml:space="preserve">Create 30-60s concept Reel (problem: cut liners → solution: snap liner)</t>
  </si>
  <si>
    <t xml:space="preserve">Concept video views</t>
  </si>
  <si>
    <t xml:space="preserve">5,000+ views, 300+ saves</t>
  </si>
  <si>
    <t xml:space="preserve">0.34</t>
  </si>
  <si>
    <t xml:space="preserve">Launch Shopify pre-launch page with Klaviyo email capture</t>
  </si>
  <si>
    <t xml:space="preserve">Pre-launch email signups</t>
  </si>
  <si>
    <t xml:space="preserve">300+ (A) / 750+ (B)</t>
  </si>
  <si>
    <t xml:space="preserve">0.35</t>
  </si>
  <si>
    <t xml:space="preserve">A/B test messaging: 'modular shorts $35' vs 'replaces Path Projects'</t>
  </si>
  <si>
    <t xml:space="preserve">Wk 6-8</t>
  </si>
  <si>
    <t xml:space="preserve">Winning message identified</t>
  </si>
  <si>
    <t xml:space="preserve">Significant CTR difference</t>
  </si>
  <si>
    <t xml:space="preserve">0.36</t>
  </si>
  <si>
    <t xml:space="preserve">Collect 20+ actionable design suggestions from comments</t>
  </si>
  <si>
    <t xml:space="preserve">Design feedback collected</t>
  </si>
  <si>
    <t xml:space="preserve">20+ suggestions logged</t>
  </si>
  <si>
    <t xml:space="preserve">0F: Research Synthesis &amp; Go/No-Go (Wk 7-8)</t>
  </si>
  <si>
    <t xml:space="preserve">0.37</t>
  </si>
  <si>
    <t xml:space="preserve">0F</t>
  </si>
  <si>
    <t xml:space="preserve">Synthesize all findings into single decision document</t>
  </si>
  <si>
    <t xml:space="preserve">Wk 7</t>
  </si>
  <si>
    <t xml:space="preserve">Synthesis document complete</t>
  </si>
  <si>
    <t xml:space="preserve">All 0A-0E data integrated</t>
  </si>
  <si>
    <t xml:space="preserve">0.38</t>
  </si>
  <si>
    <t xml:space="preserve">Score Go/No-Go criteria (5 criteria, need 4/5)</t>
  </si>
  <si>
    <t xml:space="preserve">Wk 7-8</t>
  </si>
  <si>
    <t xml:space="preserve">Go/No-Go criteria met</t>
  </si>
  <si>
    <t xml:space="preserve">4 of 5 minimum</t>
  </si>
  <si>
    <t xml:space="preserve">0.39</t>
  </si>
  <si>
    <t xml:space="preserve">Finalize product spec (fabrics, pockets, liner mechanism, sizing)</t>
  </si>
  <si>
    <t xml:space="preserve">Wk 8</t>
  </si>
  <si>
    <t xml:space="preserve">Product spec finalized</t>
  </si>
  <si>
    <t xml:space="preserve">Complete specification</t>
  </si>
  <si>
    <t xml:space="preserve">0.40</t>
  </si>
  <si>
    <t xml:space="preserve">Confirm BOM target within FOB range</t>
  </si>
  <si>
    <t xml:space="preserve">BOM confirmed</t>
  </si>
  <si>
    <t xml:space="preserve">Outer $5.50-8, Liner $2.50-4</t>
  </si>
  <si>
    <t xml:space="preserve">Factory quotation</t>
  </si>
  <si>
    <t xml:space="preserve">0.41</t>
  </si>
  <si>
    <t xml:space="preserve">Select launch colorways based on social feedback</t>
  </si>
  <si>
    <t xml:space="preserve">Colorways confirmed</t>
  </si>
  <si>
    <t xml:space="preserve">2-3 colorways selected</t>
  </si>
  <si>
    <t xml:space="preserve">0G: EU Market Entry Research [NEW] (Wk 3-6)</t>
  </si>
  <si>
    <t xml:space="preserve">0.42</t>
  </si>
  <si>
    <t xml:space="preserve">0G</t>
  </si>
  <si>
    <t xml:space="preserve">Map EU trail running market size by country (FR, DE, ES, UK, IT)</t>
  </si>
  <si>
    <t xml:space="preserve">EU market sizing complete</t>
  </si>
  <si>
    <t xml:space="preserve">Top 5 countries sized</t>
  </si>
  <si>
    <t xml:space="preserve">0.43</t>
  </si>
  <si>
    <t xml:space="preserve">Research UTMB participation demographics and spending patterns</t>
  </si>
  <si>
    <t xml:space="preserve">Wk 4</t>
  </si>
  <si>
    <t xml:space="preserve">UTMB data compiled</t>
  </si>
  <si>
    <t xml:space="preserve">Participant demographics documented</t>
  </si>
  <si>
    <t xml:space="preserve">0.44</t>
  </si>
  <si>
    <t xml:space="preserve">Identify top EU trail running communities/forums/Facebook groups</t>
  </si>
  <si>
    <t xml:space="preserve">EU communities mapped</t>
  </si>
  <si>
    <t xml:space="preserve">10+ active communities found</t>
  </si>
  <si>
    <t xml:space="preserve">0.45</t>
  </si>
  <si>
    <t xml:space="preserve">Research EU running shorts brands not present in US market</t>
  </si>
  <si>
    <t xml:space="preserve">EU-only competitors identified</t>
  </si>
  <si>
    <t xml:space="preserve">5+ brands documented</t>
  </si>
  <si>
    <t xml:space="preserve">0.46</t>
  </si>
  <si>
    <t xml:space="preserve">Validate GSP+ duty-free process with freight forwarder</t>
  </si>
  <si>
    <t xml:space="preserve">GSP+ process confirmed</t>
  </si>
  <si>
    <t xml:space="preserve">Form A requirements clear</t>
  </si>
  <si>
    <t xml:space="preserve">P1: BRAND DEVELOPMENT &amp; POSITIONING  |  Weeks 4-10</t>
  </si>
  <si>
    <t xml:space="preserve">1A: Brand Identity, Naming &amp; Visual System (Wk 4-6)</t>
  </si>
  <si>
    <t xml:space="preserve">1.01</t>
  </si>
  <si>
    <t xml:space="preserve">1A</t>
  </si>
  <si>
    <t xml:space="preserve">Brainstorm 20+ brand name candidates referencing trail/modular/simplicity</t>
  </si>
  <si>
    <t xml:space="preserve">Name candidates generated</t>
  </si>
  <si>
    <t xml:space="preserve">20+ options</t>
  </si>
  <si>
    <t xml:space="preserve">50 brand name candidates with SMILE scores — P1A_Brand_Name_Candidates.md</t>
  </si>
  <si>
    <t xml:space="preserve">1.02</t>
  </si>
  <si>
    <t xml:space="preserve">Screen top 5 names for USPTO + EUIPO trademark availability</t>
  </si>
  <si>
    <t xml:space="preserve">Deliverable Ready</t>
  </si>
  <si>
    <t xml:space="preserve">Trademark search complete</t>
  </si>
  <si>
    <t xml:space="preserve">Top 3 names clear</t>
  </si>
  <si>
    <t xml:space="preserve">Trademark screening checklist ready — P1A</t>
  </si>
  <si>
    <t xml:space="preserve">1.03</t>
  </si>
  <si>
    <t xml:space="preserve">Check domain + social handle availability for top 3 names</t>
  </si>
  <si>
    <t xml:space="preserve">Domain + handles secured</t>
  </si>
  <si>
    <t xml:space="preserve">.com + IG + TikTok available</t>
  </si>
  <si>
    <t xml:space="preserve">Domain/handle check process documented — P1A</t>
  </si>
  <si>
    <t xml:space="preserve">1.04</t>
  </si>
  <si>
    <t xml:space="preserve">Design logo (primary + icon/mark version)</t>
  </si>
  <si>
    <t xml:space="preserve">Logo approved</t>
  </si>
  <si>
    <t xml:space="preserve">Primary + icon versions</t>
  </si>
  <si>
    <t xml:space="preserve">Designer brief with colour direction, references — P1_Remaining_Execution_Docs.md</t>
  </si>
  <si>
    <t xml:space="preserve">$500-$5,000</t>
  </si>
  <si>
    <t xml:space="preserve">1.05</t>
  </si>
  <si>
    <t xml:space="preserve">Define color palette (earth tones + 1 bold accent)</t>
  </si>
  <si>
    <t xml:space="preserve">Color palette finalized</t>
  </si>
  <si>
    <t xml:space="preserve">6-color system defined</t>
  </si>
  <si>
    <t xml:space="preserve">Colour palette starting points (5 HEX codes) — P1_Remaining_Execution_Docs.md</t>
  </si>
  <si>
    <t xml:space="preserve">1.06</t>
  </si>
  <si>
    <t xml:space="preserve">Select typography system (headings + body)</t>
  </si>
  <si>
    <t xml:space="preserve">Typography selected</t>
  </si>
  <si>
    <t xml:space="preserve">2 font families</t>
  </si>
  <si>
    <t xml:space="preserve">Typography guidance documented — P1_Remaining_Execution_Docs.md</t>
  </si>
  <si>
    <t xml:space="preserve">1.07</t>
  </si>
  <si>
    <t xml:space="preserve">Write brand manifesto / founding story</t>
  </si>
  <si>
    <t xml:space="preserve">Manifesto resonance test</t>
  </si>
  <si>
    <t xml:space="preserve">60%+ want to learn more</t>
  </si>
  <si>
    <t xml:space="preserve">Brand manifesto/story written — P1_Brand_Development_Complete_Playbook.docx</t>
  </si>
  <si>
    <t xml:space="preserve">1.08</t>
  </si>
  <si>
    <t xml:space="preserve">Create brand guidelines document (logo usage, colors, voice, tone)</t>
  </si>
  <si>
    <t xml:space="preserve">Brand guidelines complete</t>
  </si>
  <si>
    <t xml:space="preserve">Approved by Week 6</t>
  </si>
  <si>
    <t xml:space="preserve">Designer brief ready (P1_Remaining_Execution_Docs.md) — founder commissions designer</t>
  </si>
  <si>
    <t xml:space="preserve">1.09</t>
  </si>
  <si>
    <t xml:space="preserve">Test brand name + logo with 5+ trail runners for feedback</t>
  </si>
  <si>
    <t xml:space="preserve">Trail runner feedback score</t>
  </si>
  <si>
    <t xml:space="preserve">8+/10 relevance</t>
  </si>
  <si>
    <t xml:space="preserve">50 brand name candidates ready (P1A) — founder tests with running community</t>
  </si>
  <si>
    <t xml:space="preserve">1B: Shopify Store Build (Wk 5-8)</t>
  </si>
  <si>
    <t xml:space="preserve">1.10</t>
  </si>
  <si>
    <t xml:space="preserve">1B</t>
  </si>
  <si>
    <t xml:space="preserve">Purchase domain and set up Shopify account</t>
  </si>
  <si>
    <t xml:space="preserve">Store account live</t>
  </si>
  <si>
    <t xml:space="preserve">Domain pointing to Shopify</t>
  </si>
  <si>
    <t xml:space="preserve">UK Ltd formation guide ready — P1C_UK_Ltd_Formation_Guide.md</t>
  </si>
  <si>
    <t xml:space="preserve">1.11</t>
  </si>
  <si>
    <t xml:space="preserve">Select and customize theme (Ride or Dawn recommended)</t>
  </si>
  <si>
    <t xml:space="preserve">Theme installed + branded</t>
  </si>
  <si>
    <t xml:space="preserve">Matches brand guidelines</t>
  </si>
  <si>
    <t xml:space="preserve">1.12</t>
  </si>
  <si>
    <t xml:space="preserve">Build homepage: problem-solution narrative (chafing + bounce)</t>
  </si>
  <si>
    <t xml:space="preserve">Homepage published</t>
  </si>
  <si>
    <t xml:space="preserve">Clear value proposition</t>
  </si>
  <si>
    <t xml:space="preserve">1.13</t>
  </si>
  <si>
    <t xml:space="preserve">Build product page: interactive modular liner demo (GIF/video)</t>
  </si>
  <si>
    <t xml:space="preserve">Liner demo on product page</t>
  </si>
  <si>
    <t xml:space="preserve">Video/GIF showing mechanism</t>
  </si>
  <si>
    <t xml:space="preserve">1.14</t>
  </si>
  <si>
    <t xml:space="preserve">Build product page: phone pocket compatibility section</t>
  </si>
  <si>
    <t xml:space="preserve">Phone compatibility shown</t>
  </si>
  <si>
    <t xml:space="preserve">iPhone 15/16 PM listed</t>
  </si>
  <si>
    <t xml:space="preserve">1.15</t>
  </si>
  <si>
    <t xml:space="preserve">Build competitor price comparison table on product page</t>
  </si>
  <si>
    <t xml:space="preserve">Comparison table visible</t>
  </si>
  <si>
    <t xml:space="preserve">3+ competitors compared</t>
  </si>
  <si>
    <t xml:space="preserve">1.16</t>
  </si>
  <si>
    <t xml:space="preserve">Implement Kiwi Size Chart with brand converter (Path, Patagonia, Nike)</t>
  </si>
  <si>
    <t xml:space="preserve">Size chart live with converter</t>
  </si>
  <si>
    <t xml:space="preserve">4+ brands in converter</t>
  </si>
  <si>
    <t xml:space="preserve">1.17</t>
  </si>
  <si>
    <t xml:space="preserve">Set up bundle page (short + liner $53, save $5)</t>
  </si>
  <si>
    <t xml:space="preserve">Bundle page functional</t>
  </si>
  <si>
    <t xml:space="preserve">Discount auto-applied</t>
  </si>
  <si>
    <t xml:space="preserve">1.18</t>
  </si>
  <si>
    <t xml:space="preserve">Install essential apps (Klaviyo, Judge.me, Loop Returns)</t>
  </si>
  <si>
    <t xml:space="preserve">All apps installed</t>
  </si>
  <si>
    <t xml:space="preserve">Integration tested</t>
  </si>
  <si>
    <t xml:space="preserve">1.19</t>
  </si>
  <si>
    <t xml:space="preserve">Configure Shopify Markets for EUR/GBP multi-currency</t>
  </si>
  <si>
    <t xml:space="preserve">Multi-currency active</t>
  </si>
  <si>
    <t xml:space="preserve">EUR + GBP working</t>
  </si>
  <si>
    <t xml:space="preserve">1.20</t>
  </si>
  <si>
    <t xml:space="preserve">Mobile optimization and speed test</t>
  </si>
  <si>
    <t xml:space="preserve">Mobile load speed</t>
  </si>
  <si>
    <t xml:space="preserve">Under 2 seconds</t>
  </si>
  <si>
    <t xml:space="preserve">PageSpeed Insights</t>
  </si>
  <si>
    <t xml:space="preserve">1.21</t>
  </si>
  <si>
    <t xml:space="preserve">Set up Shopify analytics + Google Analytics 4 integration</t>
  </si>
  <si>
    <t xml:space="preserve">Analytics tracking active</t>
  </si>
  <si>
    <t xml:space="preserve">All events firing</t>
  </si>
  <si>
    <t xml:space="preserve">1C: Legal Entity, Payments &amp; Compliance (Wk 4-7)</t>
  </si>
  <si>
    <t xml:space="preserve">1.22</t>
  </si>
  <si>
    <t xml:space="preserve">1C</t>
  </si>
  <si>
    <t xml:space="preserve">Register US LLC via Stripe Atlas</t>
  </si>
  <si>
    <t xml:space="preserve">LLC formed</t>
  </si>
  <si>
    <t xml:space="preserve">Within 10 days</t>
  </si>
  <si>
    <t xml:space="preserve">Step-by-step guide ready — P1C_UK_Ltd_Formation_Guide.md</t>
  </si>
  <si>
    <t xml:space="preserve">$500</t>
  </si>
  <si>
    <t xml:space="preserve">1.23</t>
  </si>
  <si>
    <t xml:space="preserve">Open Wise business account for multi-currency payments</t>
  </si>
  <si>
    <t xml:space="preserve">Bank account active</t>
  </si>
  <si>
    <t xml:space="preserve">USD + EUR + GBP</t>
  </si>
  <si>
    <t xml:space="preserve">1.24</t>
  </si>
  <si>
    <t xml:space="preserve">Activate Stripe payments on Shopify</t>
  </si>
  <si>
    <t xml:space="preserve">Payments live</t>
  </si>
  <si>
    <t xml:space="preserve">Test transaction successful</t>
  </si>
  <si>
    <t xml:space="preserve">1.25</t>
  </si>
  <si>
    <t xml:space="preserve">Register EU IOSS for VAT on sub-€150 orders</t>
  </si>
  <si>
    <t xml:space="preserve">IOSS registered</t>
  </si>
  <si>
    <t xml:space="preserve">Before EU shipping</t>
  </si>
  <si>
    <t xml:space="preserve">1.26</t>
  </si>
  <si>
    <t xml:space="preserve">Obtain FTC Registered Identification Number (RN)</t>
  </si>
  <si>
    <t xml:space="preserve">RN obtained</t>
  </si>
  <si>
    <t xml:space="preserve">Number assigned</t>
  </si>
  <si>
    <t xml:space="preserve">1.27</t>
  </si>
  <si>
    <t xml:space="preserve">Verify label compliance: FTC fiber content + EU Reg 1007/2011</t>
  </si>
  <si>
    <t xml:space="preserve">Labels compliant</t>
  </si>
  <si>
    <t xml:space="preserve">FTC + EU verified</t>
  </si>
  <si>
    <t xml:space="preserve">1.28</t>
  </si>
  <si>
    <t xml:space="preserve">Ensure C0 DWR compliance (CA/NY PFC bans)</t>
  </si>
  <si>
    <t xml:space="preserve">DWR compliance confirmed</t>
  </si>
  <si>
    <t xml:space="preserve">Fluorocarbon-free documented</t>
  </si>
  <si>
    <t xml:space="preserve">1D: Content &amp; Storytelling Assets (Wk 6-10)</t>
  </si>
  <si>
    <t xml:space="preserve">1.29</t>
  </si>
  <si>
    <t xml:space="preserve">1D</t>
  </si>
  <si>
    <t xml:space="preserve">Script core product demo video (60-90 sec problem-solution)</t>
  </si>
  <si>
    <t xml:space="preserve">Product demo video live</t>
  </si>
  <si>
    <t xml:space="preserve">Published YouTube + IG</t>
  </si>
  <si>
    <t xml:space="preserve">Designer brief + social templates ready — P1_Remaining_Execution_Docs.md</t>
  </si>
  <si>
    <t xml:space="preserve">1.30</t>
  </si>
  <si>
    <t xml:space="preserve">Shoot 15+ on-trail lifestyle photos (diverse body types)</t>
  </si>
  <si>
    <t xml:space="preserve">Wk 8-9</t>
  </si>
  <si>
    <t xml:space="preserve">Lifestyle photos complete</t>
  </si>
  <si>
    <t xml:space="preserve">15+ trail photos</t>
  </si>
  <si>
    <t xml:space="preserve">1.31</t>
  </si>
  <si>
    <t xml:space="preserve">Create factory behind-the-scenes content (snap mechanism install)</t>
  </si>
  <si>
    <t xml:space="preserve">Factory BTS content</t>
  </si>
  <si>
    <t xml:space="preserve">3+ posts/videos</t>
  </si>
  <si>
    <t xml:space="preserve">1.32</t>
  </si>
  <si>
    <t xml:space="preserve">Write 5 SEO blog posts pre-launch (best trail shorts, no-liner, etc.)</t>
  </si>
  <si>
    <t xml:space="preserve">Wk 7-10</t>
  </si>
  <si>
    <t xml:space="preserve">Blog posts published</t>
  </si>
  <si>
    <t xml:space="preserve">5 posts live</t>
  </si>
  <si>
    <t xml:space="preserve">1.33</t>
  </si>
  <si>
    <t xml:space="preserve">Create product comparison infographic (us vs competitors)</t>
  </si>
  <si>
    <t xml:space="preserve">Infographic created</t>
  </si>
  <si>
    <t xml:space="preserve">Shared on social</t>
  </si>
  <si>
    <t xml:space="preserve">1.34</t>
  </si>
  <si>
    <t xml:space="preserve">Build creative asset library (product flat-lays, detail shots, on-model)</t>
  </si>
  <si>
    <t xml:space="preserve">Wk 9-10</t>
  </si>
  <si>
    <t xml:space="preserve">Asset library organized</t>
  </si>
  <si>
    <t xml:space="preserve">50+ assets cataloged</t>
  </si>
  <si>
    <t xml:space="preserve">1E: Pre-Launch List Building (Wk 6-10)</t>
  </si>
  <si>
    <t xml:space="preserve">1.35</t>
  </si>
  <si>
    <t xml:space="preserve">1E</t>
  </si>
  <si>
    <t xml:space="preserve">Convert P0E signups into Klaviyo pre-launch list</t>
  </si>
  <si>
    <t xml:space="preserve">Pre-launch subscribers</t>
  </si>
  <si>
    <t xml:space="preserve">500+ (A) / 2,000+ (B)</t>
  </si>
  <si>
    <t xml:space="preserve">Shopify setup checklist ready — P1_Remaining_Execution_Docs.md</t>
  </si>
  <si>
    <t xml:space="preserve">1.36</t>
  </si>
  <si>
    <t xml:space="preserve">Design founding member pricing offer (20% off first order)</t>
  </si>
  <si>
    <t xml:space="preserve">Founding member opt-ins</t>
  </si>
  <si>
    <t xml:space="preserve">30%+ of subscribers</t>
  </si>
  <si>
    <t xml:space="preserve">1.37</t>
  </si>
  <si>
    <t xml:space="preserve">Build 5-email welcome sequence (story, product preview, countdown)</t>
  </si>
  <si>
    <t xml:space="preserve">Welcome sequence open rate</t>
  </si>
  <si>
    <t xml:space="preserve">Above 40%</t>
  </si>
  <si>
    <t xml:space="preserve">Klaviyo</t>
  </si>
  <si>
    <t xml:space="preserve">1.38</t>
  </si>
  <si>
    <t xml:space="preserve">Distribute pre-launch via trail subreddits, Strava clubs, Trail Sisters</t>
  </si>
  <si>
    <t xml:space="preserve">Landing page conversion</t>
  </si>
  <si>
    <t xml:space="preserve">Above 15%</t>
  </si>
  <si>
    <t xml:space="preserve">1F: Brand Voice &amp; Messaging Framework [NEW] (Wk 5-7)</t>
  </si>
  <si>
    <t xml:space="preserve">1.39</t>
  </si>
  <si>
    <t xml:space="preserve">1F</t>
  </si>
  <si>
    <t xml:space="preserve">Define key messaging pillars (modular system, phone pocket, price)</t>
  </si>
  <si>
    <t xml:space="preserve">Messaging pillars documented</t>
  </si>
  <si>
    <t xml:space="preserve">3 pillars + proof points</t>
  </si>
  <si>
    <t xml:space="preserve">Content strategy + 5 blog posts + emails ready — P1F docs</t>
  </si>
  <si>
    <t xml:space="preserve">1.40</t>
  </si>
  <si>
    <t xml:space="preserve">Write product taglines (3-5 options for A/B testing)</t>
  </si>
  <si>
    <t xml:space="preserve">Taglines created</t>
  </si>
  <si>
    <t xml:space="preserve">5 options ready</t>
  </si>
  <si>
    <t xml:space="preserve">1.41</t>
  </si>
  <si>
    <t xml:space="preserve">Create FAQ document for website and customer support</t>
  </si>
  <si>
    <t xml:space="preserve">FAQ published</t>
  </si>
  <si>
    <t xml:space="preserve">20+ questions covered</t>
  </si>
  <si>
    <t xml:space="preserve">1.42</t>
  </si>
  <si>
    <t xml:space="preserve">Define social media voice (tone, vocabulary, do's/don'ts)</t>
  </si>
  <si>
    <t xml:space="preserve">Social voice guide complete</t>
  </si>
  <si>
    <t xml:space="preserve">Document approved</t>
  </si>
  <si>
    <t xml:space="preserve">P2: PRODUCT DEVELOPMENT &amp; MANUFACTURING  |  Weeks 6-18</t>
  </si>
  <si>
    <t xml:space="preserve">2A: Factory Capability Assessment &amp; Tooling (Wk 6-9)</t>
  </si>
  <si>
    <t xml:space="preserve">2.01</t>
  </si>
  <si>
    <t xml:space="preserve">2A</t>
  </si>
  <si>
    <t xml:space="preserve">Audit existing factory for flatlock, snap, zippered pocket capability</t>
  </si>
  <si>
    <t xml:space="preserve">Factory audit complete</t>
  </si>
  <si>
    <t xml:space="preserve">By Week 7</t>
  </si>
  <si>
    <t xml:space="preserve">P2A_Product_Development_Manufacturing.md (5,284 words, 12 sections)</t>
  </si>
  <si>
    <t xml:space="preserve">2.02</t>
  </si>
  <si>
    <t xml:space="preserve">Produce liner snap-in/snap-out mechanism prototype</t>
  </si>
  <si>
    <t xml:space="preserve">Working prototype produced</t>
  </si>
  <si>
    <t xml:space="preserve">Mechanism functional</t>
  </si>
  <si>
    <t xml:space="preserve">2.03</t>
  </si>
  <si>
    <t xml:space="preserve">Test snap durability: 200+ attach/detach cycles</t>
  </si>
  <si>
    <t xml:space="preserve">Snap durability verified</t>
  </si>
  <si>
    <t xml:space="preserve">200+ cycles, no degradation</t>
  </si>
  <si>
    <t xml:space="preserve">2.04</t>
  </si>
  <si>
    <t xml:space="preserve">Source snap button press and hardware (Prym or YKK)</t>
  </si>
  <si>
    <t xml:space="preserve">Snap hardware sourced</t>
  </si>
  <si>
    <t xml:space="preserve">Industrial-grade snaps</t>
  </si>
  <si>
    <t xml:space="preserve">$200-500</t>
  </si>
  <si>
    <t xml:space="preserve">2.05</t>
  </si>
  <si>
    <t xml:space="preserve">Vet 2-3 Sialkot subcontractors (if needed) for pocket/hardware capability</t>
  </si>
  <si>
    <t xml:space="preserve">Subcontractors vetted</t>
  </si>
  <si>
    <t xml:space="preserve">2-3 qualified options</t>
  </si>
  <si>
    <t xml:space="preserve">2.06</t>
  </si>
  <si>
    <t xml:space="preserve">Compare flatlock seam quality to Path Projects teardown sample</t>
  </si>
  <si>
    <t xml:space="preserve">Flatlock quality matches</t>
  </si>
  <si>
    <t xml:space="preserve">Matches PP from teardown</t>
  </si>
  <si>
    <t xml:space="preserve">Comparative photo</t>
  </si>
  <si>
    <t xml:space="preserve">2.07</t>
  </si>
  <si>
    <t xml:space="preserve">Train operators on flatlock and snap installation (if in-house)</t>
  </si>
  <si>
    <t xml:space="preserve">Operators trained</t>
  </si>
  <si>
    <t xml:space="preserve">2-4 weeks training</t>
  </si>
  <si>
    <t xml:space="preserve">2B: Fabric Sourcing &amp; Material Selection (Wk 6-10)</t>
  </si>
  <si>
    <t xml:space="preserve">2.08</t>
  </si>
  <si>
    <t xml:space="preserve">2B</t>
  </si>
  <si>
    <t xml:space="preserve">Source outer short fabric: ripstop nylon/poly with C0 DWR, 4-way stretch</t>
  </si>
  <si>
    <t xml:space="preserve">Outer fabric DWR spray rating</t>
  </si>
  <si>
    <t xml:space="preserve">80+ (AATCC 22 test)</t>
  </si>
  <si>
    <t xml:space="preserve">P2B_Fabric_Sourcing_Procurement.md (3,036 words, 12 sections)</t>
  </si>
  <si>
    <t xml:space="preserve">2.09</t>
  </si>
  <si>
    <t xml:space="preserve">Source liner fabric: compression nylon/spandex 80/20, brushed inner</t>
  </si>
  <si>
    <t xml:space="preserve">Liner compression rating</t>
  </si>
  <si>
    <t xml:space="preserve">15-20 mmHg</t>
  </si>
  <si>
    <t xml:space="preserve">2.10</t>
  </si>
  <si>
    <t xml:space="preserve">Source phone pocket fabric: low-friction interior, reinforced edges</t>
  </si>
  <si>
    <t xml:space="preserve">Wk 7-9</t>
  </si>
  <si>
    <t xml:space="preserve">Phone friction test passed</t>
  </si>
  <si>
    <t xml:space="preserve">1-hand insert/remove (10 testers)</t>
  </si>
  <si>
    <t xml:space="preserve">2.11</t>
  </si>
  <si>
    <t xml:space="preserve">Test domestic suppliers (Style Textile, Baraka Textiles)</t>
  </si>
  <si>
    <t xml:space="preserve">Domestic samples received</t>
  </si>
  <si>
    <t xml:space="preserve">2+ options per component</t>
  </si>
  <si>
    <t xml:space="preserve">2.12</t>
  </si>
  <si>
    <t xml:space="preserve">Source Taiwan imports if domestic doesn't meet stretch/DWR specs</t>
  </si>
  <si>
    <t xml:space="preserve">Wk 8-10</t>
  </si>
  <si>
    <t xml:space="preserve">Backup fabric sourced</t>
  </si>
  <si>
    <t xml:space="preserve">Taiwan samples if needed</t>
  </si>
  <si>
    <t xml:space="preserve">2.13</t>
  </si>
  <si>
    <t xml:space="preserve">Verify all fabrics meet GSM targets (Outer 100-140, Liner 200-260)</t>
  </si>
  <si>
    <t xml:space="preserve">GSM targets met</t>
  </si>
  <si>
    <t xml:space="preserve">All within spec</t>
  </si>
  <si>
    <t xml:space="preserve">Fabric spec sheet</t>
  </si>
  <si>
    <t xml:space="preserve">2.14</t>
  </si>
  <si>
    <t xml:space="preserve">Lab test stretch recovery: 95%+ after 50 cycles</t>
  </si>
  <si>
    <t xml:space="preserve">Stretch recovery confirmed</t>
  </si>
  <si>
    <t xml:space="preserve">95%+ after 50 cycles</t>
  </si>
  <si>
    <t xml:space="preserve">Lab certificate</t>
  </si>
  <si>
    <t xml:space="preserve">2C: Tech Pack Development &amp; Design Engineering (Wk 8-12)</t>
  </si>
  <si>
    <t xml:space="preserve">2.15</t>
  </si>
  <si>
    <t xml:space="preserve">2C</t>
  </si>
  <si>
    <t xml:space="preserve">Hire freelance sportswear designer with pocket engineering expertise</t>
  </si>
  <si>
    <t xml:space="preserve">Designer engaged</t>
  </si>
  <si>
    <t xml:space="preserve">Contract signed</t>
  </si>
  <si>
    <t xml:space="preserve">P2C_Sampling_Fit_Testing_Production.md (4,875 words, 15 sections)</t>
  </si>
  <si>
    <t xml:space="preserve">$500-4,500</t>
  </si>
  <si>
    <t xml:space="preserve">2.16</t>
  </si>
  <si>
    <t xml:space="preserve">Develop tech pack: men's outer 5-inch inseam</t>
  </si>
  <si>
    <t xml:space="preserve">Tech pack complete (men's 5")</t>
  </si>
  <si>
    <t xml:space="preserve">Full specs documented</t>
  </si>
  <si>
    <t xml:space="preserve">2.17</t>
  </si>
  <si>
    <t xml:space="preserve">Develop tech pack: men's outer 7-inch inseam</t>
  </si>
  <si>
    <t xml:space="preserve">Tech pack complete (men's 7")</t>
  </si>
  <si>
    <t xml:space="preserve">2.18</t>
  </si>
  <si>
    <t xml:space="preserve">Develop tech pack: compression liner (men's + women's)</t>
  </si>
  <si>
    <t xml:space="preserve">Wk 9-11</t>
  </si>
  <si>
    <t xml:space="preserve">Liner tech pack complete</t>
  </si>
  <si>
    <t xml:space="preserve">Both genders specified</t>
  </si>
  <si>
    <t xml:space="preserve">2.19</t>
  </si>
  <si>
    <t xml:space="preserve">Develop tech pack: women's outer 3" + 5" (Scenario B)</t>
  </si>
  <si>
    <t xml:space="preserve">Wk 10-12</t>
  </si>
  <si>
    <t xml:space="preserve">Women's tech packs complete</t>
  </si>
  <si>
    <t xml:space="preserve">Rise, hip ratio adjusted</t>
  </si>
  <si>
    <t xml:space="preserve">2.20</t>
  </si>
  <si>
    <t xml:space="preserve">Specify phone pocket: 170x85x12mm minimum internal dimensions</t>
  </si>
  <si>
    <t xml:space="preserve">Phone pocket dims verified</t>
  </si>
  <si>
    <t xml:space="preserve">Fits iPhone 16 PM + case</t>
  </si>
  <si>
    <t xml:space="preserve">2.21</t>
  </si>
  <si>
    <t xml:space="preserve">Map snap attachment placement (4-6 points, load distribution)</t>
  </si>
  <si>
    <t xml:space="preserve">Snap placement mapped</t>
  </si>
  <si>
    <t xml:space="preserve">Load-tested, 4-6 points</t>
  </si>
  <si>
    <t xml:space="preserve">2.22</t>
  </si>
  <si>
    <t xml:space="preserve">Specify gusseted crotch construction for trail mobility</t>
  </si>
  <si>
    <t xml:space="preserve">Gusset specified</t>
  </si>
  <si>
    <t xml:space="preserve">Diamond or triangular</t>
  </si>
  <si>
    <t xml:space="preserve">2.23</t>
  </si>
  <si>
    <t xml:space="preserve">Define reflective element placement (rear + side visibility)</t>
  </si>
  <si>
    <t xml:space="preserve">Wk 10-11</t>
  </si>
  <si>
    <t xml:space="preserve">Reflective elements placed</t>
  </si>
  <si>
    <t xml:space="preserve">Rear + side positions</t>
  </si>
  <si>
    <t xml:space="preserve">2D: Sampling, Fit Testing &amp; Field Validation (Wk 11-16)</t>
  </si>
  <si>
    <t xml:space="preserve">2.24</t>
  </si>
  <si>
    <t xml:space="preserve">2D</t>
  </si>
  <si>
    <t xml:space="preserve">Produce 15-25 sample sets (outer + liner) in S/M/L/XL</t>
  </si>
  <si>
    <t xml:space="preserve">Wk 11-13</t>
  </si>
  <si>
    <t xml:space="preserve">Sample sets produced</t>
  </si>
  <si>
    <t xml:space="preserve">15 (A) / 25 (B) sets</t>
  </si>
  <si>
    <t xml:space="preserve">Comprehensive research complete — see P2 documents</t>
  </si>
  <si>
    <t xml:space="preserve">2.25</t>
  </si>
  <si>
    <t xml:space="preserve">Ship samples to 10-15 trail runner field testers</t>
  </si>
  <si>
    <t xml:space="preserve">Wk 13</t>
  </si>
  <si>
    <t xml:space="preserve">Samples shipped to testers</t>
  </si>
  <si>
    <t xml:space="preserve">All testers received</t>
  </si>
  <si>
    <t xml:space="preserve">2.26</t>
  </si>
  <si>
    <t xml:space="preserve">Testers complete minimum 3 trail runs over 10 miles each</t>
  </si>
  <si>
    <t xml:space="preserve">Testers</t>
  </si>
  <si>
    <t xml:space="preserve">Wk 13-16</t>
  </si>
  <si>
    <t xml:space="preserve">Minimum runs completed</t>
  </si>
  <si>
    <t xml:space="preserve">3x 10+ mile runs per tester</t>
  </si>
  <si>
    <t xml:space="preserve">2.27</t>
  </si>
  <si>
    <t xml:space="preserve">Collect overall fit rating from testers</t>
  </si>
  <si>
    <t xml:space="preserve">Wk 15-16</t>
  </si>
  <si>
    <t xml:space="preserve">Fit rating</t>
  </si>
  <si>
    <t xml:space="preserve">80%+ good/excellent</t>
  </si>
  <si>
    <t xml:space="preserve">2.28</t>
  </si>
  <si>
    <t xml:space="preserve">Verify zero liner chafing after 10+ mile runs</t>
  </si>
  <si>
    <t xml:space="preserve">Liner chafing incidents</t>
  </si>
  <si>
    <t xml:space="preserve">Zero after 10+ miles</t>
  </si>
  <si>
    <t xml:space="preserve">Body map feedback</t>
  </si>
  <si>
    <t xml:space="preserve">2.29</t>
  </si>
  <si>
    <t xml:space="preserve">Verify zero liner attachment failures during runs</t>
  </si>
  <si>
    <t xml:space="preserve">Liner disconnections</t>
  </si>
  <si>
    <t xml:space="preserve">Zero during testing</t>
  </si>
  <si>
    <t xml:space="preserve">2.30</t>
  </si>
  <si>
    <t xml:space="preserve">Test phone pocket bounce rating across phone models</t>
  </si>
  <si>
    <t xml:space="preserve">Phone bounce rating</t>
  </si>
  <si>
    <t xml:space="preserve">90%+ no/minimal bounce</t>
  </si>
  <si>
    <t xml:space="preserve">2.31</t>
  </si>
  <si>
    <t xml:space="preserve">Test 1-handed phone insertion/removal while running</t>
  </si>
  <si>
    <t xml:space="preserve">1-hand phone access</t>
  </si>
  <si>
    <t xml:space="preserve">80%+ confirm possible</t>
  </si>
  <si>
    <t xml:space="preserve">Video evidence</t>
  </si>
  <si>
    <t xml:space="preserve">2.32</t>
  </si>
  <si>
    <t xml:space="preserve">Test hydration vest compatibility (3-5 vest testers)</t>
  </si>
  <si>
    <t xml:space="preserve">Vest compatibility</t>
  </si>
  <si>
    <t xml:space="preserve">Zero interference</t>
  </si>
  <si>
    <t xml:space="preserve">2.33</t>
  </si>
  <si>
    <t xml:space="preserve">Compare overall to testers' current shorts</t>
  </si>
  <si>
    <t xml:space="preserve">Wk 16</t>
  </si>
  <si>
    <t xml:space="preserve">Comparison rating</t>
  </si>
  <si>
    <t xml:space="preserve">70%+ equal or better</t>
  </si>
  <si>
    <t xml:space="preserve">2.34</t>
  </si>
  <si>
    <t xml:space="preserve">Address all critical issues in iteration round</t>
  </si>
  <si>
    <t xml:space="preserve">Critical issues fixed</t>
  </si>
  <si>
    <t xml:space="preserve">100% safety/comfort fixed</t>
  </si>
  <si>
    <t xml:space="preserve">2E: Bulk Production &amp; Quality Control (Wk 15-18)</t>
  </si>
  <si>
    <t xml:space="preserve">2.35</t>
  </si>
  <si>
    <t xml:space="preserve">2E</t>
  </si>
  <si>
    <t xml:space="preserve">Set production quantities by size based on pre-order data</t>
  </si>
  <si>
    <t xml:space="preserve">Wk 15</t>
  </si>
  <si>
    <t xml:space="preserve">Size distribution set</t>
  </si>
  <si>
    <t xml:space="preserve">Based on demand data</t>
  </si>
  <si>
    <t xml:space="preserve">2.36</t>
  </si>
  <si>
    <t xml:space="preserve">Run first bulk production: 200-300 outers + 150-200 liners (A)</t>
  </si>
  <si>
    <t xml:space="preserve">Wk 15-18</t>
  </si>
  <si>
    <t xml:space="preserve">Production run complete</t>
  </si>
  <si>
    <t xml:space="preserve">All units produced</t>
  </si>
  <si>
    <t xml:space="preserve">$2,500-12,000</t>
  </si>
  <si>
    <t xml:space="preserve">2.37</t>
  </si>
  <si>
    <t xml:space="preserve">AQL 2.5% inspection on all units</t>
  </si>
  <si>
    <t xml:space="preserve">Wk 17-18</t>
  </si>
  <si>
    <t xml:space="preserve">AQL defect rate</t>
  </si>
  <si>
    <t xml:space="preserve">2.5% or lower</t>
  </si>
  <si>
    <t xml:space="preserve">2.38</t>
  </si>
  <si>
    <t xml:space="preserve">Snap pull test: all units pass 10kg pull force</t>
  </si>
  <si>
    <t xml:space="preserve">Snap pull test pass rate</t>
  </si>
  <si>
    <t xml:space="preserve">100%</t>
  </si>
  <si>
    <t xml:space="preserve">2.39</t>
  </si>
  <si>
    <t xml:space="preserve">DWR consistency: all units pass spray test (80+ rating)</t>
  </si>
  <si>
    <t xml:space="preserve">DWR batch consistency</t>
  </si>
  <si>
    <t xml:space="preserve">All units 80+</t>
  </si>
  <si>
    <t xml:space="preserve">2.40</t>
  </si>
  <si>
    <t xml:space="preserve">Size accuracy: all within 1cm of spec</t>
  </si>
  <si>
    <t xml:space="preserve">Size accuracy</t>
  </si>
  <si>
    <t xml:space="preserve">100% within 1cm</t>
  </si>
  <si>
    <t xml:space="preserve">Random check</t>
  </si>
  <si>
    <t xml:space="preserve">2.41</t>
  </si>
  <si>
    <t xml:space="preserve">Labeling compliance: FTC + EU on 100% of units</t>
  </si>
  <si>
    <t xml:space="preserve">Label compliance</t>
  </si>
  <si>
    <t xml:space="preserve">100% compliant</t>
  </si>
  <si>
    <t xml:space="preserve">2F: Packaging &amp; Unboxing Experience (Wk 14-16)</t>
  </si>
  <si>
    <t xml:space="preserve">2.42</t>
  </si>
  <si>
    <t xml:space="preserve">2F</t>
  </si>
  <si>
    <t xml:space="preserve">Design feature card (liner attachment, phone compatibility, DWR care)</t>
  </si>
  <si>
    <t xml:space="preserve">Wk 14-15</t>
  </si>
  <si>
    <t xml:space="preserve">Feature card designed</t>
  </si>
  <si>
    <t xml:space="preserve">Illustrated + QR code</t>
  </si>
  <si>
    <t xml:space="preserve">2.43</t>
  </si>
  <si>
    <t xml:space="preserve">Source packaging materials (kraft mailers or custom printed)</t>
  </si>
  <si>
    <t xml:space="preserve">Packaging sourced</t>
  </si>
  <si>
    <t xml:space="preserve">100% recyclable</t>
  </si>
  <si>
    <t xml:space="preserve">2.44</t>
  </si>
  <si>
    <t xml:space="preserve">Design branded drawstring liner bag (doubles as trail laundry bag)</t>
  </si>
  <si>
    <t xml:space="preserve">Liner bag designed</t>
  </si>
  <si>
    <t xml:space="preserve">Branded + functional</t>
  </si>
  <si>
    <t xml:space="preserve">2.45</t>
  </si>
  <si>
    <t xml:space="preserve">Verify per-order packaging cost under $2.00</t>
  </si>
  <si>
    <t xml:space="preserve">Per-order packaging cost</t>
  </si>
  <si>
    <t xml:space="preserve">Under $2.00</t>
  </si>
  <si>
    <t xml:space="preserve">2.46</t>
  </si>
  <si>
    <t xml:space="preserve">Include QR code to Strava community on all packaging</t>
  </si>
  <si>
    <t xml:space="preserve">QR code on packaging</t>
  </si>
  <si>
    <t xml:space="preserve">Links to Strava club</t>
  </si>
  <si>
    <t xml:space="preserve">2G: Product Testing &amp; Certifications [NEW] (Wk 12-16)</t>
  </si>
  <si>
    <t xml:space="preserve">2.47</t>
  </si>
  <si>
    <t xml:space="preserve">2G</t>
  </si>
  <si>
    <t xml:space="preserve">Submit fabrics for OEKO-TEX Standard 100 pre-screening</t>
  </si>
  <si>
    <t xml:space="preserve">Wk 12-14</t>
  </si>
  <si>
    <t xml:space="preserve">OEKO-TEX pre-screen results</t>
  </si>
  <si>
    <t xml:space="preserve">Pass/fail documented</t>
  </si>
  <si>
    <t xml:space="preserve">$1K-5K</t>
  </si>
  <si>
    <t xml:space="preserve">2.48</t>
  </si>
  <si>
    <t xml:space="preserve">Test colorfastness to washing (ISO 105-C06, 5 washes minimum)</t>
  </si>
  <si>
    <t xml:space="preserve">Wk 13-15</t>
  </si>
  <si>
    <t xml:space="preserve">Colorfastness pass</t>
  </si>
  <si>
    <t xml:space="preserve">Grade 4+ after 5 washes</t>
  </si>
  <si>
    <t xml:space="preserve">2.49</t>
  </si>
  <si>
    <t xml:space="preserve">Test seam burst strength at critical stress points</t>
  </si>
  <si>
    <t xml:space="preserve">Seam strength verified</t>
  </si>
  <si>
    <t xml:space="preserve">All stress points pass</t>
  </si>
  <si>
    <t xml:space="preserve">2.50</t>
  </si>
  <si>
    <t xml:space="preserve">Verify fabric pilling resistance (Martindale or ICI method)</t>
  </si>
  <si>
    <t xml:space="preserve">Wk 14-16</t>
  </si>
  <si>
    <t xml:space="preserve">Pilling resistance graded</t>
  </si>
  <si>
    <t xml:space="preserve">Grade 3+ acceptable</t>
  </si>
  <si>
    <t xml:space="preserve">P3: SUPPLY CHAIN &amp; FULFILLMENT  |  Weeks 14-20</t>
  </si>
  <si>
    <t xml:space="preserve">3A: Freight &amp; Logistics (Wk 14-18)</t>
  </si>
  <si>
    <t xml:space="preserve">3.01</t>
  </si>
  <si>
    <t xml:space="preserve">3A</t>
  </si>
  <si>
    <t xml:space="preserve">Select freight forwarder with Pakistan-EU and Pakistan-US experience</t>
  </si>
  <si>
    <t xml:space="preserve">Wk 14</t>
  </si>
  <si>
    <t xml:space="preserve">Forwarder selected</t>
  </si>
  <si>
    <t xml:space="preserve">Quotes from 3+ forwarders</t>
  </si>
  <si>
    <t xml:space="preserve">P3A_Supply_Chain_Fulfillment.md (3,083 words, 14 sections)</t>
  </si>
  <si>
    <t xml:space="preserve">3.02</t>
  </si>
  <si>
    <t xml:space="preserve">Book LCL shipment from Karachi to 3PL(s)</t>
  </si>
  <si>
    <t xml:space="preserve">Wk 16-17</t>
  </si>
  <si>
    <t xml:space="preserve">Shipment booked</t>
  </si>
  <si>
    <t xml:space="preserve">Confirmed booking</t>
  </si>
  <si>
    <t xml:space="preserve">3.03</t>
  </si>
  <si>
    <t xml:space="preserve">Obtain GSP+ Form A certificate for EU duty-free</t>
  </si>
  <si>
    <t xml:space="preserve">GSP+ applied</t>
  </si>
  <si>
    <t xml:space="preserve">Duty-free confirmed</t>
  </si>
  <si>
    <t xml:space="preserve">EU priority</t>
  </si>
  <si>
    <t xml:space="preserve">3.04</t>
  </si>
  <si>
    <t xml:space="preserve">Confirm US tariff classification (HTS code) and duty rate</t>
  </si>
  <si>
    <t xml:space="preserve">HTS code confirmed</t>
  </si>
  <si>
    <t xml:space="preserve">~29% rate documented</t>
  </si>
  <si>
    <t xml:space="preserve">3.05</t>
  </si>
  <si>
    <t xml:space="preserve">Verify freight cost per unit under $2</t>
  </si>
  <si>
    <t xml:space="preserve">Wk 17</t>
  </si>
  <si>
    <t xml:space="preserve">Freight cost per unit</t>
  </si>
  <si>
    <t xml:space="preserve">Under $2</t>
  </si>
  <si>
    <t xml:space="preserve">Invoice calc</t>
  </si>
  <si>
    <t xml:space="preserve">3.06</t>
  </si>
  <si>
    <t xml:space="preserve">Track shipment and confirm delivery to 3PL</t>
  </si>
  <si>
    <t xml:space="preserve">Wk 17-20</t>
  </si>
  <si>
    <t xml:space="preserve">Inventory at 3PL</t>
  </si>
  <si>
    <t xml:space="preserve">Received within 6 weeks</t>
  </si>
  <si>
    <t xml:space="preserve">3B: 3PL Onboarding &amp; Integration (Wk 14-18)</t>
  </si>
  <si>
    <t xml:space="preserve">3.07</t>
  </si>
  <si>
    <t xml:space="preserve">3B</t>
  </si>
  <si>
    <t xml:space="preserve">Evaluate ShipBob vs alternatives (pricing, EU capability)</t>
  </si>
  <si>
    <t xml:space="preserve">3PL selected</t>
  </si>
  <si>
    <t xml:space="preserve">3PL analysis complete in P3A — self-fulfill first, transition at 300+ orders/mo</t>
  </si>
  <si>
    <t xml:space="preserve">3.08</t>
  </si>
  <si>
    <t xml:space="preserve">Configure SKU system: outer (size x inseam x color) + liner (size x gender)</t>
  </si>
  <si>
    <t xml:space="preserve">SKU system configured</t>
  </si>
  <si>
    <t xml:space="preserve">All variants mapped</t>
  </si>
  <si>
    <t xml:space="preserve">3.09</t>
  </si>
  <si>
    <t xml:space="preserve">Integrate Shopify-ShipBob and verify bundle order handling</t>
  </si>
  <si>
    <t xml:space="preserve">Integration working</t>
  </si>
  <si>
    <t xml:space="preserve">Bundles ship correctly</t>
  </si>
  <si>
    <t xml:space="preserve">3.10</t>
  </si>
  <si>
    <t xml:space="preserve">Process 5+ test orders end-to-end (order → pick → pack → ship)</t>
  </si>
  <si>
    <t xml:space="preserve">5+ orders, zero errors</t>
  </si>
  <si>
    <t xml:space="preserve">3.11</t>
  </si>
  <si>
    <t xml:space="preserve">Confirm ship time under 3 business days</t>
  </si>
  <si>
    <t xml:space="preserve">Wk 18</t>
  </si>
  <si>
    <t xml:space="preserve">Ship time</t>
  </si>
  <si>
    <t xml:space="preserve">Under 3 business days</t>
  </si>
  <si>
    <t xml:space="preserve">ShipBob dashboard</t>
  </si>
  <si>
    <t xml:space="preserve">3.12</t>
  </si>
  <si>
    <t xml:space="preserve">Set up EU warehouse (Scenario B: split LCL for EU fulfillment)</t>
  </si>
  <si>
    <t xml:space="preserve">Wk 16-18</t>
  </si>
  <si>
    <t xml:space="preserve">EU 3PL active</t>
  </si>
  <si>
    <t xml:space="preserve">Receiving inventory</t>
  </si>
  <si>
    <t xml:space="preserve">3C: Returns, Exchanges &amp; Sizing Optimization (Wk 16-18)</t>
  </si>
  <si>
    <t xml:space="preserve">3.13</t>
  </si>
  <si>
    <t xml:space="preserve">3C</t>
  </si>
  <si>
    <t xml:space="preserve">Configure Loop Returns (exchange-first, refund-second flow)</t>
  </si>
  <si>
    <t xml:space="preserve">Returns system live</t>
  </si>
  <si>
    <t xml:space="preserve">Loop configured</t>
  </si>
  <si>
    <t xml:space="preserve">Covered in P3A supply chain document</t>
  </si>
  <si>
    <t xml:space="preserve">$30-60/mo</t>
  </si>
  <si>
    <t xml:space="preserve">3.14</t>
  </si>
  <si>
    <t xml:space="preserve">Build size guide with body measurements + brand converter</t>
  </si>
  <si>
    <t xml:space="preserve">Size guide includes converter</t>
  </si>
  <si>
    <t xml:space="preserve">Path, Patagonia, Nike, Salomon</t>
  </si>
  <si>
    <t xml:space="preserve">3.15</t>
  </si>
  <si>
    <t xml:space="preserve">Add fit photos on diverse body types to product page</t>
  </si>
  <si>
    <t xml:space="preserve">Fit photos live</t>
  </si>
  <si>
    <t xml:space="preserve">4+ body types shown</t>
  </si>
  <si>
    <t xml:space="preserve">3.16</t>
  </si>
  <si>
    <t xml:space="preserve">Define return policy (30-day, worn-once trail test welcome)</t>
  </si>
  <si>
    <t xml:space="preserve">Return policy published</t>
  </si>
  <si>
    <t xml:space="preserve">On website footer + FAQ</t>
  </si>
  <si>
    <t xml:space="preserve">3.17</t>
  </si>
  <si>
    <t xml:space="preserve">Set return rate target and monitoring system</t>
  </si>
  <si>
    <t xml:space="preserve">Return rate</t>
  </si>
  <si>
    <t xml:space="preserve">Under 12%</t>
  </si>
  <si>
    <t xml:space="preserve">3.18</t>
  </si>
  <si>
    <t xml:space="preserve">Track exchange-to-return ratio</t>
  </si>
  <si>
    <t xml:space="preserve">Wk 18+</t>
  </si>
  <si>
    <t xml:space="preserve">Exchange conversion</t>
  </si>
  <si>
    <t xml:space="preserve">50%+ of returns → exchanges</t>
  </si>
  <si>
    <t xml:space="preserve">3D: Inventory &amp; Reorder Planning (Wk 18+)</t>
  </si>
  <si>
    <t xml:space="preserve">3.19</t>
  </si>
  <si>
    <t xml:space="preserve">3D</t>
  </si>
  <si>
    <t xml:space="preserve">Set reorder triggers (when any size drops below 30% of initial stock)</t>
  </si>
  <si>
    <t xml:space="preserve">Reorder triggers active</t>
  </si>
  <si>
    <t xml:space="preserve">Alerts configured</t>
  </si>
  <si>
    <t xml:space="preserve">3.20</t>
  </si>
  <si>
    <t xml:space="preserve">Monitor sell-through by size to detect sizing issues</t>
  </si>
  <si>
    <t xml:space="preserve">Size sell-through balanced</t>
  </si>
  <si>
    <t xml:space="preserve">No size &gt;40% of total</t>
  </si>
  <si>
    <t xml:space="preserve">3.21</t>
  </si>
  <si>
    <t xml:space="preserve">Create reorder lead time tracker (4-6 weeks from order to 3PL)</t>
  </si>
  <si>
    <t xml:space="preserve">Lead time documented</t>
  </si>
  <si>
    <t xml:space="preserve">4-6 weeks confirmed</t>
  </si>
  <si>
    <t xml:space="preserve">3.22</t>
  </si>
  <si>
    <t xml:space="preserve">Plan seasonal color updates (new colors every 3-4 months)</t>
  </si>
  <si>
    <t xml:space="preserve">Wk 20+</t>
  </si>
  <si>
    <t xml:space="preserve">Color rotation plan</t>
  </si>
  <si>
    <t xml:space="preserve">Calendar documented</t>
  </si>
  <si>
    <t xml:space="preserve">3.23</t>
  </si>
  <si>
    <t xml:space="preserve">Set up inventory forecasting spreadsheet (demand vs stock)</t>
  </si>
  <si>
    <t xml:space="preserve">Wk 18-20</t>
  </si>
  <si>
    <t xml:space="preserve">Forecast model active</t>
  </si>
  <si>
    <t xml:space="preserve">3-month rolling forecast</t>
  </si>
  <si>
    <t xml:space="preserve">3E: Shipping Cost Optimization [NEW] (Wk 16-20)</t>
  </si>
  <si>
    <t xml:space="preserve">3.24</t>
  </si>
  <si>
    <t xml:space="preserve">3E</t>
  </si>
  <si>
    <t xml:space="preserve">Negotiate shipping rates with 2-3 carriers for DTC delivery</t>
  </si>
  <si>
    <t xml:space="preserve">Carrier rates negotiated</t>
  </si>
  <si>
    <t xml:space="preserve">Best rate per zone</t>
  </si>
  <si>
    <t xml:space="preserve">3.25</t>
  </si>
  <si>
    <t xml:space="preserve">Set free shipping threshold (target: $50+ orders)</t>
  </si>
  <si>
    <t xml:space="preserve">Free shipping threshold set</t>
  </si>
  <si>
    <t xml:space="preserve">AOV impact modeled</t>
  </si>
  <si>
    <t xml:space="preserve">3.26</t>
  </si>
  <si>
    <t xml:space="preserve">Configure shipping zones and rates on Shopify</t>
  </si>
  <si>
    <t xml:space="preserve">Shipping zones live</t>
  </si>
  <si>
    <t xml:space="preserve">US + EU + UK configured</t>
  </si>
  <si>
    <t xml:space="preserve">3.27</t>
  </si>
  <si>
    <t xml:space="preserve">Research customs/duties transparency tools (e.g., Zonos)</t>
  </si>
  <si>
    <t xml:space="preserve">Duties tool evaluated</t>
  </si>
  <si>
    <t xml:space="preserve">Decision documented</t>
  </si>
  <si>
    <t xml:space="preserve">International orders</t>
  </si>
  <si>
    <t xml:space="preserve">P4: MARKETING &amp; COMMUNITY BUILDING  |  Weeks 8-Ongoing</t>
  </si>
  <si>
    <t xml:space="preserve">4A: Ambassador &amp; Seeding Program (Wk 8-14)</t>
  </si>
  <si>
    <t xml:space="preserve">4.01</t>
  </si>
  <si>
    <t xml:space="preserve">4A</t>
  </si>
  <si>
    <t xml:space="preserve">Define ambassador tiers: Tier 1 (20-40) and Tier 2 (3-5 elite)</t>
  </si>
  <si>
    <t xml:space="preserve">Tier structure defined</t>
  </si>
  <si>
    <t xml:space="preserve">Both tiers documented</t>
  </si>
  <si>
    <t xml:space="preserve">Ambassador strategy in P5A_Digital_Marketing.md + P1F_Ambassador_Program</t>
  </si>
  <si>
    <t xml:space="preserve">4.02</t>
  </si>
  <si>
    <t xml:space="preserve">Identify target ambassadors from Reddit/IG shorts complaint posts</t>
  </si>
  <si>
    <t xml:space="preserve">Ambassador targets identified</t>
  </si>
  <si>
    <t xml:space="preserve">60+ candidates listed</t>
  </si>
  <si>
    <t xml:space="preserve">4.03</t>
  </si>
  <si>
    <t xml:space="preserve">Recruit and onboard ambassadors with discount codes</t>
  </si>
  <si>
    <t xml:space="preserve">Wk 10-14</t>
  </si>
  <si>
    <t xml:space="preserve">Active ambassadors at launch</t>
  </si>
  <si>
    <t xml:space="preserve">20 (A) / 40 (B)</t>
  </si>
  <si>
    <t xml:space="preserve">4.04</t>
  </si>
  <si>
    <t xml:space="preserve">Ship seeding packages (shorts + liner + content brief)</t>
  </si>
  <si>
    <t xml:space="preserve">Seeding packages shipped</t>
  </si>
  <si>
    <t xml:space="preserve">All ambassadors received</t>
  </si>
  <si>
    <t xml:space="preserve">$1,200-8,000</t>
  </si>
  <si>
    <t xml:space="preserve">4.05</t>
  </si>
  <si>
    <t xml:space="preserve">Track ambassador social posts featuring product</t>
  </si>
  <si>
    <t xml:space="preserve">Ambassador posts (60 days)</t>
  </si>
  <si>
    <t xml:space="preserve">40+ featuring product</t>
  </si>
  <si>
    <t xml:space="preserve">4.06</t>
  </si>
  <si>
    <t xml:space="preserve">Monitor discount code clicks and conversions</t>
  </si>
  <si>
    <t xml:space="preserve">Discount code clicks</t>
  </si>
  <si>
    <t xml:space="preserve">400+</t>
  </si>
  <si>
    <t xml:space="preserve">Shopify analytics</t>
  </si>
  <si>
    <t xml:space="preserve">4.07</t>
  </si>
  <si>
    <t xml:space="preserve">Ensure 80%+ of ambassador posts reference problem-solution story</t>
  </si>
  <si>
    <t xml:space="preserve">Message consistency</t>
  </si>
  <si>
    <t xml:space="preserve">80%+ on-message</t>
  </si>
  <si>
    <t xml:space="preserve">Content audit</t>
  </si>
  <si>
    <t xml:space="preserve">4B: Instagram, TikTok &amp; Social Media (Wk 8+)</t>
  </si>
  <si>
    <t xml:space="preserve">4.08</t>
  </si>
  <si>
    <t xml:space="preserve">4B</t>
  </si>
  <si>
    <t xml:space="preserve">Create content calendar (4 pillars: Liner Problem, Phone Test, Factory, Trail Tested)</t>
  </si>
  <si>
    <t xml:space="preserve">Content calendar live</t>
  </si>
  <si>
    <t xml:space="preserve">4 weeks pre-planned</t>
  </si>
  <si>
    <t xml:space="preserve">P5A_Digital_Marketing_Customer_Acquisition.md (5,330 words, 34 sections)</t>
  </si>
  <si>
    <t xml:space="preserve">4.09</t>
  </si>
  <si>
    <t xml:space="preserve">Launch 'The Liner Problem' series (cutting liners, workarounds, solution)</t>
  </si>
  <si>
    <t xml:space="preserve">Wk 10+</t>
  </si>
  <si>
    <t xml:space="preserve">Series launched</t>
  </si>
  <si>
    <t xml:space="preserve">5+ posts in series</t>
  </si>
  <si>
    <t xml:space="preserve">4.10</t>
  </si>
  <si>
    <t xml:space="preserve">Launch 'Phone Pocket Test' series (different phones on terrain)</t>
  </si>
  <si>
    <t xml:space="preserve">Wk 12+</t>
  </si>
  <si>
    <t xml:space="preserve">3+ videos</t>
  </si>
  <si>
    <t xml:space="preserve">4.11</t>
  </si>
  <si>
    <t xml:space="preserve">Post factory floor BTS content from Pakistan</t>
  </si>
  <si>
    <t xml:space="preserve">Factory content posted</t>
  </si>
  <si>
    <t xml:space="preserve">3+ posts</t>
  </si>
  <si>
    <t xml:space="preserve">4.12</t>
  </si>
  <si>
    <t xml:space="preserve">Grow Instagram following</t>
  </si>
  <si>
    <t xml:space="preserve">Instagram followers (60d)</t>
  </si>
  <si>
    <t xml:space="preserve">1,000 (A) / 3,000 (B)</t>
  </si>
  <si>
    <t xml:space="preserve">4.13</t>
  </si>
  <si>
    <t xml:space="preserve">Achieve strong save rate on product posts</t>
  </si>
  <si>
    <t xml:space="preserve">Save rate</t>
  </si>
  <si>
    <t xml:space="preserve">Above 5%</t>
  </si>
  <si>
    <t xml:space="preserve">IG Insights</t>
  </si>
  <si>
    <t xml:space="preserve">4.14</t>
  </si>
  <si>
    <t xml:space="preserve">Run paid Meta/TikTok ads (Scenario B)</t>
  </si>
  <si>
    <t xml:space="preserve">Paid ad ROAS</t>
  </si>
  <si>
    <t xml:space="preserve">Above 3x</t>
  </si>
  <si>
    <t xml:space="preserve">$500-1,500/mo</t>
  </si>
  <si>
    <t xml:space="preserve">4.15</t>
  </si>
  <si>
    <t xml:space="preserve">Hit viral TikTok video threshold</t>
  </si>
  <si>
    <t xml:space="preserve">Best TikTok video views</t>
  </si>
  <si>
    <t xml:space="preserve">10,000+</t>
  </si>
  <si>
    <t xml:space="preserve">4C: Strava Club &amp; Running Community (Wk 8+)</t>
  </si>
  <si>
    <t xml:space="preserve">4.16</t>
  </si>
  <si>
    <t xml:space="preserve">4C</t>
  </si>
  <si>
    <t xml:space="preserve">Create free Strava Club with brand story and description</t>
  </si>
  <si>
    <t xml:space="preserve">Strava Club created</t>
  </si>
  <si>
    <t xml:space="preserve">Live and branded</t>
  </si>
  <si>
    <t xml:space="preserve">$0</t>
  </si>
  <si>
    <t xml:space="preserve">4.17</t>
  </si>
  <si>
    <t xml:space="preserve">Launch monthly challenges tied to shorts narrative</t>
  </si>
  <si>
    <t xml:space="preserve">Monthly challenges active</t>
  </si>
  <si>
    <t xml:space="preserve">1 per month</t>
  </si>
  <si>
    <t xml:space="preserve">4.18</t>
  </si>
  <si>
    <t xml:space="preserve">Grow club membership</t>
  </si>
  <si>
    <t xml:space="preserve">Club members (90 days)</t>
  </si>
  <si>
    <t xml:space="preserve">200+</t>
  </si>
  <si>
    <t xml:space="preserve">4.19</t>
  </si>
  <si>
    <t xml:space="preserve">Track challenge participation rate</t>
  </si>
  <si>
    <t xml:space="preserve">Challenge participation</t>
  </si>
  <si>
    <t xml:space="preserve">50%+ of members</t>
  </si>
  <si>
    <t xml:space="preserve">4.20</t>
  </si>
  <si>
    <t xml:space="preserve">Measure club-to-website traffic</t>
  </si>
  <si>
    <t xml:space="preserve">Club-to-website clicks</t>
  </si>
  <si>
    <t xml:space="preserve">100+/month</t>
  </si>
  <si>
    <t xml:space="preserve">UTM tracking</t>
  </si>
  <si>
    <t xml:space="preserve">4D: Race Presence &amp; Guerrilla Activations (Mo 4+)</t>
  </si>
  <si>
    <t xml:space="preserve">4.21</t>
  </si>
  <si>
    <t xml:space="preserve">4D</t>
  </si>
  <si>
    <t xml:space="preserve">Map target races: EU trail races (UTMB qualifiers, FR/ES regional)</t>
  </si>
  <si>
    <t xml:space="preserve">Target race calendar</t>
  </si>
  <si>
    <t xml:space="preserve">10+ races identified</t>
  </si>
  <si>
    <t xml:space="preserve">Klaviyo flows + email strategy in P5A + P1F_Content_Strategy</t>
  </si>
  <si>
    <t xml:space="preserve">4.22</t>
  </si>
  <si>
    <t xml:space="preserve">Donate product to race swag bags</t>
  </si>
  <si>
    <t xml:space="preserve">Mo 4+</t>
  </si>
  <si>
    <t xml:space="preserve">Race presence (6 months)</t>
  </si>
  <si>
    <t xml:space="preserve">5+ events</t>
  </si>
  <si>
    <t xml:space="preserve">4.23</t>
  </si>
  <si>
    <t xml:space="preserve">Execute 'shorts swap' activations at races</t>
  </si>
  <si>
    <t xml:space="preserve">Shorts swap activations</t>
  </si>
  <si>
    <t xml:space="preserve">2 (A) / 5 (B) events</t>
  </si>
  <si>
    <t xml:space="preserve">$400-5,000</t>
  </si>
  <si>
    <t xml:space="preserve">4.24</t>
  </si>
  <si>
    <t xml:space="preserve">Collect email signups at race events</t>
  </si>
  <si>
    <t xml:space="preserve">Race-day signups</t>
  </si>
  <si>
    <t xml:space="preserve">150+</t>
  </si>
  <si>
    <t xml:space="preserve">4E: Email Marketing Flows (Wk 12-16)</t>
  </si>
  <si>
    <t xml:space="preserve">4.25</t>
  </si>
  <si>
    <t xml:space="preserve">4E</t>
  </si>
  <si>
    <t xml:space="preserve">Build welcome series (5 emails: founding story, product, countdown)</t>
  </si>
  <si>
    <t xml:space="preserve">Wk 12-13</t>
  </si>
  <si>
    <t xml:space="preserve">Welcome series open rate</t>
  </si>
  <si>
    <t xml:space="preserve">Above 45%</t>
  </si>
  <si>
    <t xml:space="preserve">4.26</t>
  </si>
  <si>
    <t xml:space="preserve">Build abandoned cart flow with social proof</t>
  </si>
  <si>
    <t xml:space="preserve">Wk 13-14</t>
  </si>
  <si>
    <t xml:space="preserve">Abandoned cart recovery</t>
  </si>
  <si>
    <t xml:space="preserve">Above 10%</t>
  </si>
  <si>
    <t xml:space="preserve">4.27</t>
  </si>
  <si>
    <t xml:space="preserve">Build browse abandonment flow</t>
  </si>
  <si>
    <t xml:space="preserve">Browse abandonment live</t>
  </si>
  <si>
    <t xml:space="preserve">Flow active</t>
  </si>
  <si>
    <t xml:space="preserve">4.28</t>
  </si>
  <si>
    <t xml:space="preserve">Build post-purchase flow (liner care, DWR tips, review request)</t>
  </si>
  <si>
    <t xml:space="preserve">Post-purchase flow active</t>
  </si>
  <si>
    <t xml:space="preserve">Review request at Day 14</t>
  </si>
  <si>
    <t xml:space="preserve">4.29</t>
  </si>
  <si>
    <t xml:space="preserve">Build liner upsell flow (Day 14 + Day 30 for shorts-only buyers)</t>
  </si>
  <si>
    <t xml:space="preserve">Liner upsell conversion</t>
  </si>
  <si>
    <t xml:space="preserve">20%+ within 60 days</t>
  </si>
  <si>
    <t xml:space="preserve">KEY revenue driver</t>
  </si>
  <si>
    <t xml:space="preserve">4.30</t>
  </si>
  <si>
    <t xml:space="preserve">Track email revenue as share of total</t>
  </si>
  <si>
    <t xml:space="preserve">Mo 3+</t>
  </si>
  <si>
    <t xml:space="preserve">Email revenue share</t>
  </si>
  <si>
    <t xml:space="preserve">25%+ by Month 6</t>
  </si>
  <si>
    <t xml:space="preserve">Klaviyo attribution</t>
  </si>
  <si>
    <t xml:space="preserve">4F: SEO, Content &amp; Review Site Outreach (Wk 10+)</t>
  </si>
  <si>
    <t xml:space="preserve">4.31</t>
  </si>
  <si>
    <t xml:space="preserve">4F</t>
  </si>
  <si>
    <t xml:space="preserve">Define target keywords (best trail shorts, modular shorts, no-liner, etc.)</t>
  </si>
  <si>
    <t xml:space="preserve">Wk 10</t>
  </si>
  <si>
    <t xml:space="preserve">Keyword list finalized</t>
  </si>
  <si>
    <t xml:space="preserve">15+ target keywords</t>
  </si>
  <si>
    <t xml:space="preserve">SEO + content strategy in P5A + P1F_05_Five_SEO_Blog_Posts.md</t>
  </si>
  <si>
    <t xml:space="preserve">4.32</t>
  </si>
  <si>
    <t xml:space="preserve">Publish SEO articles (1-2/week targeting long-tail keywords)</t>
  </si>
  <si>
    <t xml:space="preserve">Published articles (6mo)</t>
  </si>
  <si>
    <t xml:space="preserve">20+</t>
  </si>
  <si>
    <t xml:space="preserve">4.33</t>
  </si>
  <si>
    <t xml:space="preserve">Outreach to iRunFar, Trail &amp; Kale, GearJunkie, OGL for reviews</t>
  </si>
  <si>
    <t xml:space="preserve">Review pitches sent</t>
  </si>
  <si>
    <t xml:space="preserve">10+ personalized</t>
  </si>
  <si>
    <t xml:space="preserve">4.34</t>
  </si>
  <si>
    <t xml:space="preserve">Secure published reviews on recognized trail running sites</t>
  </si>
  <si>
    <t xml:space="preserve">Published reviews</t>
  </si>
  <si>
    <t xml:space="preserve">2+ on recognized sites</t>
  </si>
  <si>
    <t xml:space="preserve">4.35</t>
  </si>
  <si>
    <t xml:space="preserve">Monitor organic traffic growth</t>
  </si>
  <si>
    <t xml:space="preserve">Organic visitors (Month 6)</t>
  </si>
  <si>
    <t xml:space="preserve">1,500+</t>
  </si>
  <si>
    <t xml:space="preserve">GA4</t>
  </si>
  <si>
    <t xml:space="preserve">4G: Referral &amp; Word-of-Mouth Program [NEW] (Wk 16+)</t>
  </si>
  <si>
    <t xml:space="preserve">4.36</t>
  </si>
  <si>
    <t xml:space="preserve">4G</t>
  </si>
  <si>
    <t xml:space="preserve">Design referral program (give $10, get $10 or similar)</t>
  </si>
  <si>
    <t xml:space="preserve">Referral program live</t>
  </si>
  <si>
    <t xml:space="preserve">On website</t>
  </si>
  <si>
    <t xml:space="preserve">4.37</t>
  </si>
  <si>
    <t xml:space="preserve">Select and configure referral app (e.g., ReferralCandy, Smile.io)</t>
  </si>
  <si>
    <t xml:space="preserve">Referral app active</t>
  </si>
  <si>
    <t xml:space="preserve">Integrated with Shopify</t>
  </si>
  <si>
    <t xml:space="preserve">4.38</t>
  </si>
  <si>
    <t xml:space="preserve">Include referral CTA in post-purchase emails and packaging</t>
  </si>
  <si>
    <t xml:space="preserve">Referral CTAs placed</t>
  </si>
  <si>
    <t xml:space="preserve">Email + packaging</t>
  </si>
  <si>
    <t xml:space="preserve">4.39</t>
  </si>
  <si>
    <t xml:space="preserve">Track referral program performance</t>
  </si>
  <si>
    <t xml:space="preserve">Referral-driven orders</t>
  </si>
  <si>
    <t xml:space="preserve">5%+ of total orders</t>
  </si>
  <si>
    <t xml:space="preserve">P5: SALES LAUNCH &amp; REVENUE OPERATIONS  |  Weeks 18-30</t>
  </si>
  <si>
    <t xml:space="preserve">5A: Launch Day Execution (Wk 18-20)</t>
  </si>
  <si>
    <t xml:space="preserve">5.01</t>
  </si>
  <si>
    <t xml:space="preserve">5A</t>
  </si>
  <si>
    <t xml:space="preserve">Send 48-hour early access email to pre-launch list</t>
  </si>
  <si>
    <t xml:space="preserve">Early access email sent</t>
  </si>
  <si>
    <t xml:space="preserve">To full pre-launch list</t>
  </si>
  <si>
    <t xml:space="preserve">Launch playbook in P5A_Digital_Marketing.md (hour-by-hour launch day plan)</t>
  </si>
  <si>
    <t xml:space="preserve">5.02</t>
  </si>
  <si>
    <t xml:space="preserve">Post product demo video on all social channels simultaneously</t>
  </si>
  <si>
    <t xml:space="preserve">Launch posts live</t>
  </si>
  <si>
    <t xml:space="preserve">IG + TikTok + Strava</t>
  </si>
  <si>
    <t xml:space="preserve">5.03</t>
  </si>
  <si>
    <t xml:space="preserve">Host virtual Strava Club run on launch day</t>
  </si>
  <si>
    <t xml:space="preserve">Launch run executed</t>
  </si>
  <si>
    <t xml:space="preserve">Participation tracked</t>
  </si>
  <si>
    <t xml:space="preserve">5.04</t>
  </si>
  <si>
    <t xml:space="preserve">Monitor Shopify analytics in real-time for conversion issues</t>
  </si>
  <si>
    <t xml:space="preserve">Conversion rate</t>
  </si>
  <si>
    <t xml:space="preserve">Above 2.5%</t>
  </si>
  <si>
    <t xml:space="preserve">5.05</t>
  </si>
  <si>
    <t xml:space="preserve">Provide founder-led customer support for sizing questions</t>
  </si>
  <si>
    <t xml:space="preserve">Support response time</t>
  </si>
  <si>
    <t xml:space="preserve">Under 4 hours</t>
  </si>
  <si>
    <t xml:space="preserve">5.06</t>
  </si>
  <si>
    <t xml:space="preserve">Achieve first week order target</t>
  </si>
  <si>
    <t xml:space="preserve">Wk 18-19</t>
  </si>
  <si>
    <t xml:space="preserve">First week orders</t>
  </si>
  <si>
    <t xml:space="preserve">50+ (A) / 150+ (B)</t>
  </si>
  <si>
    <t xml:space="preserve">5.07</t>
  </si>
  <si>
    <t xml:space="preserve">Hit AOV target (short + liner bundle)</t>
  </si>
  <si>
    <t xml:space="preserve">Average order value</t>
  </si>
  <si>
    <t xml:space="preserve">Above $45</t>
  </si>
  <si>
    <t xml:space="preserve">Target: $53 bundle</t>
  </si>
  <si>
    <t xml:space="preserve">5.08</t>
  </si>
  <si>
    <t xml:space="preserve">Ensure zero downtime during launch</t>
  </si>
  <si>
    <t xml:space="preserve">Uptime</t>
  </si>
  <si>
    <t xml:space="preserve">5B: Bundle Strategy &amp; Liner Upsell Engine (Launch+)</t>
  </si>
  <si>
    <t xml:space="preserve">5.09</t>
  </si>
  <si>
    <t xml:space="preserve">5B</t>
  </si>
  <si>
    <t xml:space="preserve">Configure 'The System' bundle: outer + liner = $53 (save $5)</t>
  </si>
  <si>
    <t xml:space="preserve">Pre-launch</t>
  </si>
  <si>
    <t xml:space="preserve">Bundle configured</t>
  </si>
  <si>
    <t xml:space="preserve">Discount auto-applies</t>
  </si>
  <si>
    <t xml:space="preserve">P4A_Pricing_Financial_Modeling.md (3,504 words, 14 sections) — unit economics, break-even, Y1 projections</t>
  </si>
  <si>
    <t xml:space="preserve">5.10</t>
  </si>
  <si>
    <t xml:space="preserve">Configure 'Double Liner' bundle: outer + 2 liners = $68</t>
  </si>
  <si>
    <t xml:space="preserve">Double liner bundle live</t>
  </si>
  <si>
    <t xml:space="preserve">Saves $3 shown</t>
  </si>
  <si>
    <t xml:space="preserve">5.11</t>
  </si>
  <si>
    <t xml:space="preserve">Track bundle adoption rate</t>
  </si>
  <si>
    <t xml:space="preserve">Bundle adoption rate</t>
  </si>
  <si>
    <t xml:space="preserve">30%+ of orders</t>
  </si>
  <si>
    <t xml:space="preserve">5.12</t>
  </si>
  <si>
    <t xml:space="preserve">Activate Klaviyo liner upsell flow for shorts-only buyers</t>
  </si>
  <si>
    <t xml:space="preserve">5.13</t>
  </si>
  <si>
    <t xml:space="preserve">Track repeat purchase rate at 6 months</t>
  </si>
  <si>
    <t xml:space="preserve">Mo 6+</t>
  </si>
  <si>
    <t xml:space="preserve">Repeat purchase rate</t>
  </si>
  <si>
    <t xml:space="preserve">15%+</t>
  </si>
  <si>
    <t xml:space="preserve">5C: Post-Launch Product Validation &amp; V2 (Wk 22-28)</t>
  </si>
  <si>
    <t xml:space="preserve">5.14</t>
  </si>
  <si>
    <t xml:space="preserve">5C</t>
  </si>
  <si>
    <t xml:space="preserve">Deploy post-purchase survey at Day 21 via Klaviyo</t>
  </si>
  <si>
    <t xml:space="preserve">Wk 21+</t>
  </si>
  <si>
    <t xml:space="preserve">Survey response rate</t>
  </si>
  <si>
    <t xml:space="preserve">Above 30% of first 100</t>
  </si>
  <si>
    <t xml:space="preserve">Pricing + shipping + returns strategy in P4A + P3A documents</t>
  </si>
  <si>
    <t xml:space="preserve">5.15</t>
  </si>
  <si>
    <t xml:space="preserve">Calculate Net Promoter Score from survey data</t>
  </si>
  <si>
    <t xml:space="preserve">Wk 24+</t>
  </si>
  <si>
    <t xml:space="preserve">Net Promoter Score</t>
  </si>
  <si>
    <t xml:space="preserve">Above 40</t>
  </si>
  <si>
    <t xml:space="preserve">5.16</t>
  </si>
  <si>
    <t xml:space="preserve">Analyze all return reasons by category (fit, quality, expectation)</t>
  </si>
  <si>
    <t xml:space="preserve">Wk 22+</t>
  </si>
  <si>
    <t xml:space="preserve">Return reasons categorized</t>
  </si>
  <si>
    <t xml:space="preserve">All returns analyzed</t>
  </si>
  <si>
    <t xml:space="preserve">5.17</t>
  </si>
  <si>
    <t xml:space="preserve">Identify top 3 product improvements for V2 with customer evidence</t>
  </si>
  <si>
    <t xml:space="preserve">Wk 26-28</t>
  </si>
  <si>
    <t xml:space="preserve">V2 improvements identified</t>
  </si>
  <si>
    <t xml:space="preserve">Top 3 with evidence</t>
  </si>
  <si>
    <t xml:space="preserve">5.18</t>
  </si>
  <si>
    <t xml:space="preserve">Measure liner mechanism satisfaction</t>
  </si>
  <si>
    <t xml:space="preserve">Liner satisfaction</t>
  </si>
  <si>
    <t xml:space="preserve">90%+ good/excellent</t>
  </si>
  <si>
    <t xml:space="preserve">5.19</t>
  </si>
  <si>
    <t xml:space="preserve">Finalize V2 tech pack updates incorporating improvements</t>
  </si>
  <si>
    <t xml:space="preserve">Wk 28</t>
  </si>
  <si>
    <t xml:space="preserve">V2 tech packs finalized</t>
  </si>
  <si>
    <t xml:space="preserve">Top improvements integrated</t>
  </si>
  <si>
    <t xml:space="preserve">5D: Amazon Channel - Month 6+ (Scenario B)</t>
  </si>
  <si>
    <t xml:space="preserve">5.20</t>
  </si>
  <si>
    <t xml:space="preserve">5D</t>
  </si>
  <si>
    <t xml:space="preserve">Create Amazon Seller account and FBA enrollment</t>
  </si>
  <si>
    <t xml:space="preserve">Mo 6</t>
  </si>
  <si>
    <t xml:space="preserve">Amazon account live</t>
  </si>
  <si>
    <t xml:space="preserve">FBA enrolled</t>
  </si>
  <si>
    <t xml:space="preserve">$500-1,000</t>
  </si>
  <si>
    <t xml:space="preserve">5.21</t>
  </si>
  <si>
    <t xml:space="preserve">Create optimized listing (modular liner, phone pocket keywords)</t>
  </si>
  <si>
    <t xml:space="preserve">Mo 6-7</t>
  </si>
  <si>
    <t xml:space="preserve">Amazon listing live</t>
  </si>
  <si>
    <t xml:space="preserve">Optimized for search</t>
  </si>
  <si>
    <t xml:space="preserve">5.22</t>
  </si>
  <si>
    <t xml:space="preserve">Launch Amazon PPC campaigns targeting shorts keywords</t>
  </si>
  <si>
    <t xml:space="preserve">Mo 7</t>
  </si>
  <si>
    <t xml:space="preserve">Amazon ACoS</t>
  </si>
  <si>
    <t xml:space="preserve">Below 30%</t>
  </si>
  <si>
    <t xml:space="preserve">5.23</t>
  </si>
  <si>
    <t xml:space="preserve">Achieve Amazon rating target</t>
  </si>
  <si>
    <t xml:space="preserve">Mo 7-9</t>
  </si>
  <si>
    <t xml:space="preserve">Amazon rating</t>
  </si>
  <si>
    <t xml:space="preserve">4.2+ stars within 3 months</t>
  </si>
  <si>
    <t xml:space="preserve">5.24</t>
  </si>
  <si>
    <t xml:space="preserve">Track Amazon as share of total revenue</t>
  </si>
  <si>
    <t xml:space="preserve">Mo 8+</t>
  </si>
  <si>
    <t xml:space="preserve">Amazon revenue share</t>
  </si>
  <si>
    <t xml:space="preserve">15-20% of total</t>
  </si>
  <si>
    <t xml:space="preserve">5E: Specialty Retail Outreach - Month 8+ (Scenario B)</t>
  </si>
  <si>
    <t xml:space="preserve">5.25</t>
  </si>
  <si>
    <t xml:space="preserve">5E</t>
  </si>
  <si>
    <t xml:space="preserve">Create wholesale line sheet and brand deck</t>
  </si>
  <si>
    <t xml:space="preserve">Mo 7-8</t>
  </si>
  <si>
    <t xml:space="preserve">Line sheet complete</t>
  </si>
  <si>
    <t xml:space="preserve">Professional document</t>
  </si>
  <si>
    <t xml:space="preserve">Covered across P3A, P4A, P5A deliverables</t>
  </si>
  <si>
    <t xml:space="preserve">5.26</t>
  </si>
  <si>
    <t xml:space="preserve">Identify 10+ trail-focused independent run shops</t>
  </si>
  <si>
    <t xml:space="preserve">Mo 8</t>
  </si>
  <si>
    <t xml:space="preserve">Retail prospects identified</t>
  </si>
  <si>
    <t xml:space="preserve">10+ shops listed</t>
  </si>
  <si>
    <t xml:space="preserve">5.27</t>
  </si>
  <si>
    <t xml:space="preserve">Offer consignment to first 3 accounts to reduce risk</t>
  </si>
  <si>
    <t xml:space="preserve">Mo 8-10</t>
  </si>
  <si>
    <t xml:space="preserve">Retail accounts opened</t>
  </si>
  <si>
    <t xml:space="preserve">3-5 by Month 12</t>
  </si>
  <si>
    <t xml:space="preserve">5.28</t>
  </si>
  <si>
    <t xml:space="preserve">Ship display samples for in-store demonstration</t>
  </si>
  <si>
    <t xml:space="preserve">Display samples shipped</t>
  </si>
  <si>
    <t xml:space="preserve">Liner detached for demo</t>
  </si>
  <si>
    <t xml:space="preserve">5.29</t>
  </si>
  <si>
    <t xml:space="preserve">Track retail sell-through rate</t>
  </si>
  <si>
    <t xml:space="preserve">Mo 10+</t>
  </si>
  <si>
    <t xml:space="preserve">Retail sell-through</t>
  </si>
  <si>
    <t xml:space="preserve">Above 60% first season</t>
  </si>
  <si>
    <t xml:space="preserve">5F: Revenue Analytics &amp; Reporting [NEW] (Wk 18+)</t>
  </si>
  <si>
    <t xml:space="preserve">5.30</t>
  </si>
  <si>
    <t xml:space="preserve">5F</t>
  </si>
  <si>
    <t xml:space="preserve">Set up weekly revenue dashboard (Shopify + Klaviyo + ads)</t>
  </si>
  <si>
    <t xml:space="preserve">Dashboard live</t>
  </si>
  <si>
    <t xml:space="preserve">Updated weekly</t>
  </si>
  <si>
    <t xml:space="preserve">5.31</t>
  </si>
  <si>
    <t xml:space="preserve">Track customer acquisition cost by channel</t>
  </si>
  <si>
    <t xml:space="preserve">CAC by channel documented</t>
  </si>
  <si>
    <t xml:space="preserve">All channels tracked</t>
  </si>
  <si>
    <t xml:space="preserve">5.32</t>
  </si>
  <si>
    <t xml:space="preserve">Monitor customer lifetime value as data accumulates</t>
  </si>
  <si>
    <t xml:space="preserve">CLV tracking active</t>
  </si>
  <si>
    <t xml:space="preserve">Calculated quarterly</t>
  </si>
  <si>
    <t xml:space="preserve">5.33</t>
  </si>
  <si>
    <t xml:space="preserve">Report monthly P&amp;L (revenue, COGS, marketing, overhead)</t>
  </si>
  <si>
    <t xml:space="preserve">Monthly</t>
  </si>
  <si>
    <t xml:space="preserve">Monthly P&amp;L complete</t>
  </si>
  <si>
    <t xml:space="preserve">By 5th of each month</t>
  </si>
  <si>
    <t xml:space="preserve">P6: SCALING &amp; EXPANSION  |  Months 8-24</t>
  </si>
  <si>
    <t xml:space="preserve">6A: Women's Line &amp; Size Expansion (Mo 8-12)</t>
  </si>
  <si>
    <t xml:space="preserve">6.01</t>
  </si>
  <si>
    <t xml:space="preserve">6A</t>
  </si>
  <si>
    <t xml:space="preserve">Recruit 10+ women trail runners for fit testing</t>
  </si>
  <si>
    <t xml:space="preserve">Women testers recruited</t>
  </si>
  <si>
    <t xml:space="preserve">10+</t>
  </si>
  <si>
    <t xml:space="preserve">P6A_Post_Launch_Operations.md (7,860 words, 27 sections)</t>
  </si>
  <si>
    <t xml:space="preserve">6.02</t>
  </si>
  <si>
    <t xml:space="preserve">Develop women's-specific tech packs (rise, hip, pocket placement)</t>
  </si>
  <si>
    <t xml:space="preserve">Mo 8-9</t>
  </si>
  <si>
    <t xml:space="preserve">2 (A) / 4 (B) SKUs</t>
  </si>
  <si>
    <t xml:space="preserve">6.03</t>
  </si>
  <si>
    <t xml:space="preserve">Produce women's samples and run 3-week field test</t>
  </si>
  <si>
    <t xml:space="preserve">Mo 9-10</t>
  </si>
  <si>
    <t xml:space="preserve">Women's field testing done</t>
  </si>
  <si>
    <t xml:space="preserve">All testers reported</t>
  </si>
  <si>
    <t xml:space="preserve">6.04</t>
  </si>
  <si>
    <t xml:space="preserve">Launch women's line on Shopify</t>
  </si>
  <si>
    <t xml:space="preserve">Mo 10-11</t>
  </si>
  <si>
    <t xml:space="preserve">Women's SKUs launched</t>
  </si>
  <si>
    <t xml:space="preserve">2 (A) / 4 (B)</t>
  </si>
  <si>
    <t xml:space="preserve">6.05</t>
  </si>
  <si>
    <t xml:space="preserve">Extend all products to XS-3XL size range</t>
  </si>
  <si>
    <t xml:space="preserve">Mo 10-12</t>
  </si>
  <si>
    <t xml:space="preserve">Full size range live</t>
  </si>
  <si>
    <t xml:space="preserve">XS-3XL all products</t>
  </si>
  <si>
    <t xml:space="preserve">6.06</t>
  </si>
  <si>
    <t xml:space="preserve">Track women's share of total sales</t>
  </si>
  <si>
    <t xml:space="preserve">Mo 11+</t>
  </si>
  <si>
    <t xml:space="preserve">Women's sales share</t>
  </si>
  <si>
    <t xml:space="preserve">30%+ within 3 months</t>
  </si>
  <si>
    <t xml:space="preserve">6B: Liner System Expansion (Mo 10-16)</t>
  </si>
  <si>
    <t xml:space="preserve">6.07</t>
  </si>
  <si>
    <t xml:space="preserve">6B</t>
  </si>
  <si>
    <t xml:space="preserve">Develop Mesh Summer Liner ($16, ultralight for hot conditions)</t>
  </si>
  <si>
    <t xml:space="preserve">Summer liner launched</t>
  </si>
  <si>
    <t xml:space="preserve">Live on store</t>
  </si>
  <si>
    <t xml:space="preserve">6.08</t>
  </si>
  <si>
    <t xml:space="preserve">Develop Thermal Winter Liner ($22, brushed fleece inner)</t>
  </si>
  <si>
    <t xml:space="preserve">Winter liner launched</t>
  </si>
  <si>
    <t xml:space="preserve">6.09</t>
  </si>
  <si>
    <t xml:space="preserve">Develop Long Liner ($20, 6-inch inseam for anti-chafe)</t>
  </si>
  <si>
    <t xml:space="preserve">Mo 12-14</t>
  </si>
  <si>
    <t xml:space="preserve">Long liner launched</t>
  </si>
  <si>
    <t xml:space="preserve">6.10</t>
  </si>
  <si>
    <t xml:space="preserve">Track average liners per customer</t>
  </si>
  <si>
    <t xml:space="preserve">Mo 12+</t>
  </si>
  <si>
    <t xml:space="preserve">Avg liners per customer</t>
  </si>
  <si>
    <t xml:space="preserve">2.0+ across all customers</t>
  </si>
  <si>
    <t xml:space="preserve">6.11</t>
  </si>
  <si>
    <t xml:space="preserve">Track liner-only repeat purchase rate</t>
  </si>
  <si>
    <t xml:space="preserve">Liner repeat purchases</t>
  </si>
  <si>
    <t xml:space="preserve">25%+ within 12 months</t>
  </si>
  <si>
    <t xml:space="preserve">6C: Sustainability Certification (Mo 8-14)</t>
  </si>
  <si>
    <t xml:space="preserve">6.12</t>
  </si>
  <si>
    <t xml:space="preserve">6C</t>
  </si>
  <si>
    <t xml:space="preserve">Submit for OEKO-TEX Standard 100 certification</t>
  </si>
  <si>
    <t xml:space="preserve">OEKO-TEX obtained</t>
  </si>
  <si>
    <t xml:space="preserve">Within 6 months of launch</t>
  </si>
  <si>
    <t xml:space="preserve">Covered in P6A post-launch operations document</t>
  </si>
  <si>
    <t xml:space="preserve">$1,500-7,000</t>
  </si>
  <si>
    <t xml:space="preserve">6.13</t>
  </si>
  <si>
    <t xml:space="preserve">Document C0 DWR compliance for all products</t>
  </si>
  <si>
    <t xml:space="preserve">C0 DWR documented</t>
  </si>
  <si>
    <t xml:space="preserve">All products compliant</t>
  </si>
  <si>
    <t xml:space="preserve">6.14</t>
  </si>
  <si>
    <t xml:space="preserve">Apply for Amazon Climate Pledge Friendly badge (Scenario B)</t>
  </si>
  <si>
    <t xml:space="preserve">Mo 10</t>
  </si>
  <si>
    <t xml:space="preserve">Amazon CPF badge live</t>
  </si>
  <si>
    <t xml:space="preserve">On product listing</t>
  </si>
  <si>
    <t xml:space="preserve">6.15</t>
  </si>
  <si>
    <t xml:space="preserve">Begin GRS (Global Recycled Standard) process (Scenario B)</t>
  </si>
  <si>
    <t xml:space="preserve">GRS application submitted</t>
  </si>
  <si>
    <t xml:space="preserve">Process initiated</t>
  </si>
  <si>
    <t xml:space="preserve">6D: Factory Vertical Integration (Mo 14-20, Scenario B)</t>
  </si>
  <si>
    <t xml:space="preserve">6.16</t>
  </si>
  <si>
    <t xml:space="preserve">6D</t>
  </si>
  <si>
    <t xml:space="preserve">Purchase flatlock machines, snap press, coverstitch for in-house</t>
  </si>
  <si>
    <t xml:space="preserve">Mo 14-16</t>
  </si>
  <si>
    <t xml:space="preserve">Equipment installed</t>
  </si>
  <si>
    <t xml:space="preserve">All machines operational</t>
  </si>
  <si>
    <t xml:space="preserve">$12K-20K</t>
  </si>
  <si>
    <t xml:space="preserve">6.17</t>
  </si>
  <si>
    <t xml:space="preserve">Train in-house team on shorts-specific production</t>
  </si>
  <si>
    <t xml:space="preserve">Mo 16-18</t>
  </si>
  <si>
    <t xml:space="preserve">Team trained</t>
  </si>
  <si>
    <t xml:space="preserve">Full production capability</t>
  </si>
  <si>
    <t xml:space="preserve">6.18</t>
  </si>
  <si>
    <t xml:space="preserve">Achieve same AQL 2.5% quality with in-house production</t>
  </si>
  <si>
    <t xml:space="preserve">Mo 18-20</t>
  </si>
  <si>
    <t xml:space="preserve">In-house quality parity</t>
  </si>
  <si>
    <t xml:space="preserve">AQL 2.5% met</t>
  </si>
  <si>
    <t xml:space="preserve">6.19</t>
  </si>
  <si>
    <t xml:space="preserve">Reduce per-unit cost by 15%+ vs subcontracting</t>
  </si>
  <si>
    <t xml:space="preserve">Mo 20</t>
  </si>
  <si>
    <t xml:space="preserve">Cost reduction achieved</t>
  </si>
  <si>
    <t xml:space="preserve">15%+ lower per unit</t>
  </si>
  <si>
    <t xml:space="preserve">6.20</t>
  </si>
  <si>
    <t xml:space="preserve">Reduce production lead time to 2-3 weeks for reorders</t>
  </si>
  <si>
    <t xml:space="preserve">Lead time reduction</t>
  </si>
  <si>
    <t xml:space="preserve">2-3 weeks</t>
  </si>
  <si>
    <t xml:space="preserve">6E: Cold-Weather Running Gloves Launch [NEW] (Mo 6-10)</t>
  </si>
  <si>
    <t xml:space="preserve">6.21</t>
  </si>
  <si>
    <t xml:space="preserve">6E</t>
  </si>
  <si>
    <t xml:space="preserve">Develop glove tech packs (lightweight $25 + premium $35)</t>
  </si>
  <si>
    <t xml:space="preserve">Glove tech packs complete</t>
  </si>
  <si>
    <t xml:space="preserve">Both weights specified</t>
  </si>
  <si>
    <t xml:space="preserve">6.22</t>
  </si>
  <si>
    <t xml:space="preserve">Source Sialkot factory for glove production (MOQ 100-300)</t>
  </si>
  <si>
    <t xml:space="preserve">Sialkot factory selected</t>
  </si>
  <si>
    <t xml:space="preserve">Samples approved</t>
  </si>
  <si>
    <t xml:space="preserve">6.23</t>
  </si>
  <si>
    <t xml:space="preserve">Produce glove samples and field test with 5+ runners</t>
  </si>
  <si>
    <t xml:space="preserve">Glove field testing done</t>
  </si>
  <si>
    <t xml:space="preserve">6.24</t>
  </si>
  <si>
    <t xml:space="preserve">Launch gloves timed for fall/winter season</t>
  </si>
  <si>
    <t xml:space="preserve">Gloves launched</t>
  </si>
  <si>
    <t xml:space="preserve">Before October</t>
  </si>
  <si>
    <t xml:space="preserve">82-88% margin</t>
  </si>
  <si>
    <t xml:space="preserve">6.25</t>
  </si>
  <si>
    <t xml:space="preserve">Cross-sell gloves to existing shorts customers via email</t>
  </si>
  <si>
    <t xml:space="preserve">Mo 9+</t>
  </si>
  <si>
    <t xml:space="preserve">Glove cross-sell rate</t>
  </si>
  <si>
    <t xml:space="preserve">10%+ of shorts buyers</t>
  </si>
  <si>
    <t xml:space="preserve">6F: Product Line Expansion Planning [NEW] (Mo 12-18)</t>
  </si>
  <si>
    <t xml:space="preserve">6.26</t>
  </si>
  <si>
    <t xml:space="preserve">6F</t>
  </si>
  <si>
    <t xml:space="preserve">Evaluate trail performance tee launch ($25, based on Gap Analysis #1)</t>
  </si>
  <si>
    <t xml:space="preserve">Tee evaluation complete</t>
  </si>
  <si>
    <t xml:space="preserve">Go/no-go decision</t>
  </si>
  <si>
    <t xml:space="preserve">6.27</t>
  </si>
  <si>
    <t xml:space="preserve">Evaluate lightweight wind jacket ($45)</t>
  </si>
  <si>
    <t xml:space="preserve">Jacket evaluation complete</t>
  </si>
  <si>
    <t xml:space="preserve">6.28</t>
  </si>
  <si>
    <t xml:space="preserve">Research vest-compatible sports bra opportunity (Phase 2)</t>
  </si>
  <si>
    <t xml:space="preserve">Bra research complete</t>
  </si>
  <si>
    <t xml:space="preserve">Feasibility assessed</t>
  </si>
  <si>
    <t xml:space="preserve">Gap Analysis #4</t>
  </si>
  <si>
    <t xml:space="preserve">6.29</t>
  </si>
  <si>
    <t xml:space="preserve">Create 2-year product roadmap based on customer data</t>
  </si>
  <si>
    <t xml:space="preserve">Mo 18</t>
  </si>
  <si>
    <t xml:space="preserve">Product roadmap finalized</t>
  </si>
  <si>
    <t xml:space="preserve">24-month plan documented</t>
  </si>
  <si>
    <t xml:space="preserve">6G: Year 1-2 Revenue Milestones (Ongoing)</t>
  </si>
  <si>
    <t xml:space="preserve">6.30</t>
  </si>
  <si>
    <t xml:space="preserve">6G</t>
  </si>
  <si>
    <t xml:space="preserve">Reach monthly revenue target by Month 12</t>
  </si>
  <si>
    <t xml:space="preserve">Mo 12</t>
  </si>
  <si>
    <t xml:space="preserve">Monthly revenue (Mo 12)</t>
  </si>
  <si>
    <t xml:space="preserve">$2K-6K (A) / $8K-25K (B)</t>
  </si>
  <si>
    <t xml:space="preserve">6.31</t>
  </si>
  <si>
    <t xml:space="preserve">Reach total customer target Year 1</t>
  </si>
  <si>
    <t xml:space="preserve">Total customers (Y1)</t>
  </si>
  <si>
    <t xml:space="preserve">300-700 (A) / 1K-3K (B)</t>
  </si>
  <si>
    <t xml:space="preserve">6.32</t>
  </si>
  <si>
    <t xml:space="preserve">Achieve liner attach rate target</t>
  </si>
  <si>
    <t xml:space="preserve">Liner attach rate</t>
  </si>
  <si>
    <t xml:space="preserve">60%+ (A) / 65%+ (B)</t>
  </si>
  <si>
    <t xml:space="preserve">6.33</t>
  </si>
  <si>
    <t xml:space="preserve">Grow email list to target</t>
  </si>
  <si>
    <t xml:space="preserve">Email list size</t>
  </si>
  <si>
    <t xml:space="preserve">1,500+ (A) / 4,000+ (B)</t>
  </si>
  <si>
    <t xml:space="preserve">6.34</t>
  </si>
  <si>
    <t xml:space="preserve">Maintain gross margin in target range</t>
  </si>
  <si>
    <t xml:space="preserve">Ongoing</t>
  </si>
  <si>
    <t xml:space="preserve">Gross margin</t>
  </si>
  <si>
    <t xml:space="preserve">68-77%</t>
  </si>
  <si>
    <t xml:space="preserve">P7: FINANCIAL OPERATIONS &amp; CASH FLOW [NEW]  |  Week 1+</t>
  </si>
  <si>
    <t xml:space="preserve">7A: Financial Planning &amp; Modeling (Wk 1-4)</t>
  </si>
  <si>
    <t xml:space="preserve">7.01</t>
  </si>
  <si>
    <t xml:space="preserve">7A</t>
  </si>
  <si>
    <t xml:space="preserve">Build 12-month cash flow forecast (both scenarios A &amp; B)</t>
  </si>
  <si>
    <t xml:space="preserve">Cash flow model built</t>
  </si>
  <si>
    <t xml:space="preserve">12 months modeled</t>
  </si>
  <si>
    <t xml:space="preserve">P7A_Financial_Operations_Cash_Flow.md (4,658 words, 16 sections)</t>
  </si>
  <si>
    <t xml:space="preserve">7.02</t>
  </si>
  <si>
    <t xml:space="preserve">Calculate break-even point (units and revenue)</t>
  </si>
  <si>
    <t xml:space="preserve">Break-even calculated</t>
  </si>
  <si>
    <t xml:space="preserve">Units + revenue documented</t>
  </si>
  <si>
    <t xml:space="preserve">7.03</t>
  </si>
  <si>
    <t xml:space="preserve">Model unit economics with sensitivity analysis (FOB, AOV, CAC)</t>
  </si>
  <si>
    <t xml:space="preserve">Sensitivity analysis complete</t>
  </si>
  <si>
    <t xml:space="preserve">3 scenarios modeled</t>
  </si>
  <si>
    <t xml:space="preserve">7.04</t>
  </si>
  <si>
    <t xml:space="preserve">Define monthly burn rate and funding runway</t>
  </si>
  <si>
    <t xml:space="preserve">Runway calculated</t>
  </si>
  <si>
    <t xml:space="preserve">Months of runway clear</t>
  </si>
  <si>
    <t xml:space="preserve">7.05</t>
  </si>
  <si>
    <t xml:space="preserve">Set financial KPI targets by month (revenue, margin, CAC, AOV)</t>
  </si>
  <si>
    <t xml:space="preserve">Monthly KPI targets set</t>
  </si>
  <si>
    <t xml:space="preserve">12-month targets</t>
  </si>
  <si>
    <t xml:space="preserve">7B: Accounting &amp; Bookkeeping Setup (Wk 4-8)</t>
  </si>
  <si>
    <t xml:space="preserve">7.06</t>
  </si>
  <si>
    <t xml:space="preserve">7B</t>
  </si>
  <si>
    <t xml:space="preserve">Set up accounting software (Wave free or QuickBooks)</t>
  </si>
  <si>
    <t xml:space="preserve">Accounting system live</t>
  </si>
  <si>
    <t xml:space="preserve">Chart of accounts created</t>
  </si>
  <si>
    <t xml:space="preserve">7.07</t>
  </si>
  <si>
    <t xml:space="preserve">Create chart of accounts for DTC ecommerce business</t>
  </si>
  <si>
    <t xml:space="preserve">COA complete</t>
  </si>
  <si>
    <t xml:space="preserve">All categories mapped</t>
  </si>
  <si>
    <t xml:space="preserve">7.08</t>
  </si>
  <si>
    <t xml:space="preserve">Set up cost tracking by category (COGS, marketing, shipping, ops)</t>
  </si>
  <si>
    <t xml:space="preserve">Cost tracking active</t>
  </si>
  <si>
    <t xml:space="preserve">All expenses categorized</t>
  </si>
  <si>
    <t xml:space="preserve">7.09</t>
  </si>
  <si>
    <t xml:space="preserve">Configure invoicing for wholesale/retail orders (future)</t>
  </si>
  <si>
    <t xml:space="preserve">Invoicing system ready</t>
  </si>
  <si>
    <t xml:space="preserve">Template created</t>
  </si>
  <si>
    <t xml:space="preserve">7.10</t>
  </si>
  <si>
    <t xml:space="preserve">Set up tax compliance (US sales tax via Shopify Tax or TaxJar)</t>
  </si>
  <si>
    <t xml:space="preserve">Sales tax configured</t>
  </si>
  <si>
    <t xml:space="preserve">Auto-collection active</t>
  </si>
  <si>
    <t xml:space="preserve">7C: Pricing Strategy &amp; Margin Management (Wk 6-10)</t>
  </si>
  <si>
    <t xml:space="preserve">7.11</t>
  </si>
  <si>
    <t xml:space="preserve">7C</t>
  </si>
  <si>
    <t xml:space="preserve">Finalize DTC pricing: outer $35, liner $18, bundle $53</t>
  </si>
  <si>
    <t xml:space="preserve">Pricing finalized</t>
  </si>
  <si>
    <t xml:space="preserve">All SKUs priced</t>
  </si>
  <si>
    <t xml:space="preserve">Covered in P7A financial operations + P4A pricing documents</t>
  </si>
  <si>
    <t xml:space="preserve">7.12</t>
  </si>
  <si>
    <t xml:space="preserve">Calculate all-in landed cost per SKU (FOB + freight + duty + 3PL)</t>
  </si>
  <si>
    <t xml:space="preserve">Landed costs calculated</t>
  </si>
  <si>
    <t xml:space="preserve">Per-SKU breakdown</t>
  </si>
  <si>
    <t xml:space="preserve">7.13</t>
  </si>
  <si>
    <t xml:space="preserve">Model wholesale pricing if retail expansion planned</t>
  </si>
  <si>
    <t xml:space="preserve">Wholesale pricing modeled</t>
  </si>
  <si>
    <t xml:space="preserve">50% keystone feasible</t>
  </si>
  <si>
    <t xml:space="preserve">7.14</t>
  </si>
  <si>
    <t xml:space="preserve">Define discount/promotion strategy (founding member, seasonal, etc.)</t>
  </si>
  <si>
    <t xml:space="preserve">Discount strategy documented</t>
  </si>
  <si>
    <t xml:space="preserve">Annual calendar created</t>
  </si>
  <si>
    <t xml:space="preserve">7.15</t>
  </si>
  <si>
    <t xml:space="preserve">Set margin floor: minimum acceptable gross margin per order</t>
  </si>
  <si>
    <t xml:space="preserve">Margin floor defined</t>
  </si>
  <si>
    <t xml:space="preserve">Minimum % documented</t>
  </si>
  <si>
    <t xml:space="preserve">7D: Funding &amp; Investment Planning (Wk 1-8)</t>
  </si>
  <si>
    <t xml:space="preserve">7.16</t>
  </si>
  <si>
    <t xml:space="preserve">7D</t>
  </si>
  <si>
    <t xml:space="preserve">Determine scenario (A: bootstrapped $20K or B: funded $50-100K)</t>
  </si>
  <si>
    <t xml:space="preserve">Funding scenario selected</t>
  </si>
  <si>
    <t xml:space="preserve">A or B confirmed</t>
  </si>
  <si>
    <t xml:space="preserve">7.17</t>
  </si>
  <si>
    <t xml:space="preserve">If B: prepare pitch deck with unit economics and market data</t>
  </si>
  <si>
    <t xml:space="preserve">Wk 4-8</t>
  </si>
  <si>
    <t xml:space="preserve">Pitch deck complete</t>
  </si>
  <si>
    <t xml:space="preserve">Professional deck ready</t>
  </si>
  <si>
    <t xml:space="preserve">7.18</t>
  </si>
  <si>
    <t xml:space="preserve">If B: identify potential investors (angel, friends/family, grants)</t>
  </si>
  <si>
    <t xml:space="preserve">Investor list created</t>
  </si>
  <si>
    <t xml:space="preserve">10+ prospects</t>
  </si>
  <si>
    <t xml:space="preserve">7.19</t>
  </si>
  <si>
    <t xml:space="preserve">Research Pakistan export grants or textile industry incentives</t>
  </si>
  <si>
    <t xml:space="preserve">Wk 3-5</t>
  </si>
  <si>
    <t xml:space="preserve">Grants researched</t>
  </si>
  <si>
    <t xml:space="preserve">Eligible programs listed</t>
  </si>
  <si>
    <t xml:space="preserve">7.20</t>
  </si>
  <si>
    <t xml:space="preserve">Set up emergency reserve ($1K-2K A / $5K-10K B)</t>
  </si>
  <si>
    <t xml:space="preserve">Reserve funded</t>
  </si>
  <si>
    <t xml:space="preserve">Amount in bank</t>
  </si>
  <si>
    <t xml:space="preserve">7E: Financial Reporting &amp; Review Cadence [NEW] (Wk 18+)</t>
  </si>
  <si>
    <t xml:space="preserve">7.21</t>
  </si>
  <si>
    <t xml:space="preserve">7E</t>
  </si>
  <si>
    <t xml:space="preserve">Create weekly revenue + spend dashboard</t>
  </si>
  <si>
    <t xml:space="preserve">Weekly dashboard live</t>
  </si>
  <si>
    <t xml:space="preserve">Updated every Monday</t>
  </si>
  <si>
    <t xml:space="preserve">7.22</t>
  </si>
  <si>
    <t xml:space="preserve">Conduct monthly financial review (P&amp;L, cash flow, burn rate)</t>
  </si>
  <si>
    <t xml:space="preserve">Monthly review completed</t>
  </si>
  <si>
    <t xml:space="preserve">By 10th of each month</t>
  </si>
  <si>
    <t xml:space="preserve">7.23</t>
  </si>
  <si>
    <t xml:space="preserve">Track customer acquisition cost by channel monthly</t>
  </si>
  <si>
    <t xml:space="preserve">CAC tracked by channel</t>
  </si>
  <si>
    <t xml:space="preserve">Updated monthly</t>
  </si>
  <si>
    <t xml:space="preserve">7.24</t>
  </si>
  <si>
    <t xml:space="preserve">Review and update cash flow forecast quarterly</t>
  </si>
  <si>
    <t xml:space="preserve">Quarterly</t>
  </si>
  <si>
    <t xml:space="preserve">Forecast updated</t>
  </si>
  <si>
    <t xml:space="preserve">Quarterly refresh</t>
  </si>
  <si>
    <t xml:space="preserve">P8: TECH INFRASTRUCTURE &amp; ANALYTICS [NEW]  |  Weeks 4-12</t>
  </si>
  <si>
    <t xml:space="preserve">8A: Analytics &amp; Tracking Setup (Wk 4-8)</t>
  </si>
  <si>
    <t xml:space="preserve">8.01</t>
  </si>
  <si>
    <t xml:space="preserve">8A</t>
  </si>
  <si>
    <t xml:space="preserve">Set up Google Analytics 4 with ecommerce tracking</t>
  </si>
  <si>
    <t xml:space="preserve">GA4 live with ecommerce</t>
  </si>
  <si>
    <t xml:space="preserve">P8A_Tech_Infrastructure_Analytics.md (5,169 words, 18 sections)</t>
  </si>
  <si>
    <t xml:space="preserve">8.02</t>
  </si>
  <si>
    <t xml:space="preserve">Install Meta Pixel for Facebook/Instagram ad tracking</t>
  </si>
  <si>
    <t xml:space="preserve">Meta Pixel installed</t>
  </si>
  <si>
    <t xml:space="preserve">Events verified</t>
  </si>
  <si>
    <t xml:space="preserve">8.03</t>
  </si>
  <si>
    <t xml:space="preserve">Install TikTok Pixel for ad tracking</t>
  </si>
  <si>
    <t xml:space="preserve">TikTok Pixel installed</t>
  </si>
  <si>
    <t xml:space="preserve">8.04</t>
  </si>
  <si>
    <t xml:space="preserve">Set up Google Search Console for SEO monitoring</t>
  </si>
  <si>
    <t xml:space="preserve">Search Console active</t>
  </si>
  <si>
    <t xml:space="preserve">Sitemap submitted</t>
  </si>
  <si>
    <t xml:space="preserve">8.05</t>
  </si>
  <si>
    <t xml:space="preserve">Define UTM parameter framework for all campaigns</t>
  </si>
  <si>
    <t xml:space="preserve">UTM framework documented</t>
  </si>
  <si>
    <t xml:space="preserve">Standard naming convention</t>
  </si>
  <si>
    <t xml:space="preserve">8.06</t>
  </si>
  <si>
    <t xml:space="preserve">Install heatmap tool (Hotjar or Microsoft Clarity, both free)</t>
  </si>
  <si>
    <t xml:space="preserve">Heatmap tool active</t>
  </si>
  <si>
    <t xml:space="preserve">Recording sessions</t>
  </si>
  <si>
    <t xml:space="preserve">8B: Tech Stack Configuration (Wk 5-10)</t>
  </si>
  <si>
    <t xml:space="preserve">8.07</t>
  </si>
  <si>
    <t xml:space="preserve">8B</t>
  </si>
  <si>
    <t xml:space="preserve">Select and configure email platform (Klaviyo recommended)</t>
  </si>
  <si>
    <t xml:space="preserve">Email platform live</t>
  </si>
  <si>
    <t xml:space="preserve">Shopify integrated</t>
  </si>
  <si>
    <t xml:space="preserve">8.08</t>
  </si>
  <si>
    <t xml:space="preserve">Select review platform (Judge.me recommended for budget)</t>
  </si>
  <si>
    <t xml:space="preserve">Review platform active</t>
  </si>
  <si>
    <t xml:space="preserve">Auto-request configured</t>
  </si>
  <si>
    <t xml:space="preserve">8.09</t>
  </si>
  <si>
    <t xml:space="preserve">Set up social media management tool (Buffer or Later)</t>
  </si>
  <si>
    <t xml:space="preserve">Social tool active</t>
  </si>
  <si>
    <t xml:space="preserve">Content scheduling working</t>
  </si>
  <si>
    <t xml:space="preserve">8.10</t>
  </si>
  <si>
    <t xml:space="preserve">Configure Shopify notifications and order alerts</t>
  </si>
  <si>
    <t xml:space="preserve">Notifications configured</t>
  </si>
  <si>
    <t xml:space="preserve">All alerts tested</t>
  </si>
  <si>
    <t xml:space="preserve">8.11</t>
  </si>
  <si>
    <t xml:space="preserve">Set up automated inventory alerts (low stock, out of stock)</t>
  </si>
  <si>
    <t xml:space="preserve">Inventory alerts active</t>
  </si>
  <si>
    <t xml:space="preserve">Thresholds set per SKU</t>
  </si>
  <si>
    <t xml:space="preserve">8C: Website Performance &amp; SEO Technical (Wk 8-12)</t>
  </si>
  <si>
    <t xml:space="preserve">8.12</t>
  </si>
  <si>
    <t xml:space="preserve">8C</t>
  </si>
  <si>
    <t xml:space="preserve">Optimize site speed: target &lt;2s mobile load time</t>
  </si>
  <si>
    <t xml:space="preserve">Mobile load time</t>
  </si>
  <si>
    <t xml:space="preserve">Covered in P8A tech infrastructure document</t>
  </si>
  <si>
    <t xml:space="preserve">PageSpeed</t>
  </si>
  <si>
    <t xml:space="preserve">8.13</t>
  </si>
  <si>
    <t xml:space="preserve">Implement structured data (Product schema for Google)</t>
  </si>
  <si>
    <t xml:space="preserve">Structured data live</t>
  </si>
  <si>
    <t xml:space="preserve">Rich results testing pass</t>
  </si>
  <si>
    <t xml:space="preserve">8.14</t>
  </si>
  <si>
    <t xml:space="preserve">Submit XML sitemap and configure robots.txt</t>
  </si>
  <si>
    <t xml:space="preserve">Google indexing</t>
  </si>
  <si>
    <t xml:space="preserve">8.15</t>
  </si>
  <si>
    <t xml:space="preserve">Set up 301 redirects plan for any future URL changes</t>
  </si>
  <si>
    <t xml:space="preserve">Redirect plan documented</t>
  </si>
  <si>
    <t xml:space="preserve">No broken links</t>
  </si>
  <si>
    <t xml:space="preserve">8D: Data Privacy &amp; Compliance [NEW] (Wk 6-10)</t>
  </si>
  <si>
    <t xml:space="preserve">8.16</t>
  </si>
  <si>
    <t xml:space="preserve">8D</t>
  </si>
  <si>
    <t xml:space="preserve">Draft and publish Privacy Policy (GDPR + CCPA compliant)</t>
  </si>
  <si>
    <t xml:space="preserve">Privacy Policy live</t>
  </si>
  <si>
    <t xml:space="preserve">On website footer</t>
  </si>
  <si>
    <t xml:space="preserve">8.17</t>
  </si>
  <si>
    <t xml:space="preserve">Draft and publish Terms of Service</t>
  </si>
  <si>
    <t xml:space="preserve">Terms of Service live</t>
  </si>
  <si>
    <t xml:space="preserve">8.18</t>
  </si>
  <si>
    <t xml:space="preserve">Implement cookie consent banner (EU GDPR requirement)</t>
  </si>
  <si>
    <t xml:space="preserve">Cookie banner active</t>
  </si>
  <si>
    <t xml:space="preserve">Consent tracked</t>
  </si>
  <si>
    <t xml:space="preserve">8.19</t>
  </si>
  <si>
    <t xml:space="preserve">Configure GDPR data export/deletion capability</t>
  </si>
  <si>
    <t xml:space="preserve">GDPR compliance verified</t>
  </si>
  <si>
    <t xml:space="preserve">Data requests handleable</t>
  </si>
  <si>
    <t xml:space="preserve">8.20</t>
  </si>
  <si>
    <t xml:space="preserve">Ensure Klaviyo + Shopify comply with email consent laws</t>
  </si>
  <si>
    <t xml:space="preserve">Email consent compliant</t>
  </si>
  <si>
    <t xml:space="preserve">Double opt-in for EU</t>
  </si>
  <si>
    <t xml:space="preserve">8E: Automation &amp; Workflow [NEW] (Wk 12-16)</t>
  </si>
  <si>
    <t xml:space="preserve">8.21</t>
  </si>
  <si>
    <t xml:space="preserve">8E</t>
  </si>
  <si>
    <t xml:space="preserve">Set up Shopify Flow automations (tag customers, low stock alerts)</t>
  </si>
  <si>
    <t xml:space="preserve">Automations active</t>
  </si>
  <si>
    <t xml:space="preserve">3+ flows running</t>
  </si>
  <si>
    <t xml:space="preserve">8.22</t>
  </si>
  <si>
    <t xml:space="preserve">Create order fulfillment notification templates</t>
  </si>
  <si>
    <t xml:space="preserve">Notification templates live</t>
  </si>
  <si>
    <t xml:space="preserve">Branded + tracking link</t>
  </si>
  <si>
    <t xml:space="preserve">8.23</t>
  </si>
  <si>
    <t xml:space="preserve">Set up automated weekly reporting (revenue + traffic + email)</t>
  </si>
  <si>
    <t xml:space="preserve">Weekly report automated</t>
  </si>
  <si>
    <t xml:space="preserve">Delivered every Monday</t>
  </si>
  <si>
    <t xml:space="preserve">P9: LEGAL, COMPLIANCE &amp; RISK MANAGEMENT [NEW]  |  Weeks 1-12</t>
  </si>
  <si>
    <t xml:space="preserve">9A: Intellectual Property Protection (Wk 1-12)</t>
  </si>
  <si>
    <t xml:space="preserve">9.01</t>
  </si>
  <si>
    <t xml:space="preserve">9A</t>
  </si>
  <si>
    <t xml:space="preserve">File trademark application for brand name (USPTO + EUIPO)</t>
  </si>
  <si>
    <t xml:space="preserve">Trademark filed</t>
  </si>
  <si>
    <t xml:space="preserve">Both USPTO + EUIPO</t>
  </si>
  <si>
    <t xml:space="preserve">P9A_Legal_Compliance_Risk.md (5,246 words, 18 sections)</t>
  </si>
  <si>
    <t xml:space="preserve">$500-2,000</t>
  </si>
  <si>
    <t xml:space="preserve">9.02</t>
  </si>
  <si>
    <t xml:space="preserve">File trademark for logo/wordmark</t>
  </si>
  <si>
    <t xml:space="preserve">Logo trademark filed</t>
  </si>
  <si>
    <t xml:space="preserve">Application submitted</t>
  </si>
  <si>
    <t xml:space="preserve">9.03</t>
  </si>
  <si>
    <t xml:space="preserve">Evaluate design patent for modular liner attachment mechanism</t>
  </si>
  <si>
    <t xml:space="preserve">Wk 8-12</t>
  </si>
  <si>
    <t xml:space="preserve">Patent evaluation complete</t>
  </si>
  <si>
    <t xml:space="preserve">Go/no-go on filing</t>
  </si>
  <si>
    <t xml:space="preserve">9.04</t>
  </si>
  <si>
    <t xml:space="preserve">Register brand domain variations (.co, .eu, common misspellings)</t>
  </si>
  <si>
    <t xml:space="preserve">Domains secured</t>
  </si>
  <si>
    <t xml:space="preserve">Key variations registered</t>
  </si>
  <si>
    <t xml:space="preserve">$50-200</t>
  </si>
  <si>
    <t xml:space="preserve">9.05</t>
  </si>
  <si>
    <t xml:space="preserve">Set up trademark monitoring (Amazon Brand Registry, social platforms)</t>
  </si>
  <si>
    <t xml:space="preserve">Monitoring active</t>
  </si>
  <si>
    <t xml:space="preserve">9B: Product Liability &amp; Insurance (Wk 8-14)</t>
  </si>
  <si>
    <t xml:space="preserve">9.06</t>
  </si>
  <si>
    <t xml:space="preserve">9B</t>
  </si>
  <si>
    <t xml:space="preserve">Obtain product liability insurance</t>
  </si>
  <si>
    <t xml:space="preserve">Product liability active</t>
  </si>
  <si>
    <t xml:space="preserve">Policy in force</t>
  </si>
  <si>
    <t xml:space="preserve">$500-2,000/yr</t>
  </si>
  <si>
    <t xml:space="preserve">9.07</t>
  </si>
  <si>
    <t xml:space="preserve">Obtain general business insurance (LLC)</t>
  </si>
  <si>
    <t xml:space="preserve">Business insurance active</t>
  </si>
  <si>
    <t xml:space="preserve">9.08</t>
  </si>
  <si>
    <t xml:space="preserve">Draft product warranty policy (6-month defect warranty suggested)</t>
  </si>
  <si>
    <t xml:space="preserve">Warranty policy published</t>
  </si>
  <si>
    <t xml:space="preserve">9.09</t>
  </si>
  <si>
    <t xml:space="preserve">Create product safety testing documentation file</t>
  </si>
  <si>
    <t xml:space="preserve">Safety file created</t>
  </si>
  <si>
    <t xml:space="preserve">All test results archived</t>
  </si>
  <si>
    <t xml:space="preserve">9C: Regulatory Compliance (Wk 4-12)</t>
  </si>
  <si>
    <t xml:space="preserve">9.10</t>
  </si>
  <si>
    <t xml:space="preserve">9C</t>
  </si>
  <si>
    <t xml:space="preserve">Verify FTC labeling requirements for all products</t>
  </si>
  <si>
    <t xml:space="preserve">FTC labeling verified</t>
  </si>
  <si>
    <t xml:space="preserve">Fiber content + origin correct</t>
  </si>
  <si>
    <t xml:space="preserve">9.11</t>
  </si>
  <si>
    <t xml:space="preserve">Verify EU textile labeling (Regulation 1007/2011)</t>
  </si>
  <si>
    <t xml:space="preserve">EU labeling verified</t>
  </si>
  <si>
    <t xml:space="preserve">Multi-language labels ready</t>
  </si>
  <si>
    <t xml:space="preserve">9.12</t>
  </si>
  <si>
    <t xml:space="preserve">Confirm CA Proposition 65 compliance (if selling to CA)</t>
  </si>
  <si>
    <t xml:space="preserve">Prop 65 assessed</t>
  </si>
  <si>
    <t xml:space="preserve">Compliance documented</t>
  </si>
  <si>
    <t xml:space="preserve">9.13</t>
  </si>
  <si>
    <t xml:space="preserve">Ensure REACH compliance for EU market (chemical safety)</t>
  </si>
  <si>
    <t xml:space="preserve">REACH compliance checked</t>
  </si>
  <si>
    <t xml:space="preserve">DWR chemicals verified</t>
  </si>
  <si>
    <t xml:space="preserve">9.14</t>
  </si>
  <si>
    <t xml:space="preserve">Create compliance checklist for each new product launch</t>
  </si>
  <si>
    <t xml:space="preserve">Compliance template created</t>
  </si>
  <si>
    <t xml:space="preserve">Reusable for future SKUs</t>
  </si>
  <si>
    <t xml:space="preserve">9D: Contractual &amp; Vendor Agreements (Wk 4-10)</t>
  </si>
  <si>
    <t xml:space="preserve">9.15</t>
  </si>
  <si>
    <t xml:space="preserve">9D</t>
  </si>
  <si>
    <t xml:space="preserve">Draft/sign manufacturing agreement with factory/subcontractor</t>
  </si>
  <si>
    <t xml:space="preserve">Manufacturing agreement signed</t>
  </si>
  <si>
    <t xml:space="preserve">Quality, IP, terms defined</t>
  </si>
  <si>
    <t xml:space="preserve">9.16</t>
  </si>
  <si>
    <t xml:space="preserve">Draft/sign ambassador agreement (usage rights, disclosure, terms)</t>
  </si>
  <si>
    <t xml:space="preserve">Ambassador agreement ready</t>
  </si>
  <si>
    <t xml:space="preserve">Template approved</t>
  </si>
  <si>
    <t xml:space="preserve">9.17</t>
  </si>
  <si>
    <t xml:space="preserve">Create NDA template for factory workers handling designs</t>
  </si>
  <si>
    <t xml:space="preserve">NDA template created</t>
  </si>
  <si>
    <t xml:space="preserve">Signed by key staff</t>
  </si>
  <si>
    <t xml:space="preserve">9.18</t>
  </si>
  <si>
    <t xml:space="preserve">Review 3PL service agreement terms (SLA, liability, insurance)</t>
  </si>
  <si>
    <t xml:space="preserve">3PL agreement reviewed</t>
  </si>
  <si>
    <t xml:space="preserve">SLA terms documented</t>
  </si>
  <si>
    <t xml:space="preserve">9E: Risk Register &amp; Mitigation [NEW] (Wk 6-8)</t>
  </si>
  <si>
    <t xml:space="preserve">9.19</t>
  </si>
  <si>
    <t xml:space="preserve">9E</t>
  </si>
  <si>
    <t xml:space="preserve">Create risk register with probability/impact scores</t>
  </si>
  <si>
    <t xml:space="preserve">Risk register complete</t>
  </si>
  <si>
    <t xml:space="preserve">All risks scored</t>
  </si>
  <si>
    <t xml:space="preserve">9.20</t>
  </si>
  <si>
    <t xml:space="preserve">Define mitigation plan for top 5 risks</t>
  </si>
  <si>
    <t xml:space="preserve">Mitigation plans documented</t>
  </si>
  <si>
    <t xml:space="preserve">Top 5 with actions</t>
  </si>
  <si>
    <t xml:space="preserve">9.21</t>
  </si>
  <si>
    <t xml:space="preserve">Set up China backup sourcing for US market (tariff hedge)</t>
  </si>
  <si>
    <t xml:space="preserve">China backup identified</t>
  </si>
  <si>
    <t xml:space="preserve">1-2 factories vetted</t>
  </si>
  <si>
    <t xml:space="preserve">9.22</t>
  </si>
  <si>
    <t xml:space="preserve">Plan copycat/knockoff response strategy (Amazon especially)</t>
  </si>
  <si>
    <t xml:space="preserve">Anti-copycat plan</t>
  </si>
  <si>
    <t xml:space="preserve">Brand Registry + legal steps</t>
  </si>
  <si>
    <t xml:space="preserve">9.23</t>
  </si>
  <si>
    <t xml:space="preserve">Review risk register quarterly and update</t>
  </si>
  <si>
    <t xml:space="preserve">Quarterly review done</t>
  </si>
  <si>
    <t xml:space="preserve">Updated each quarter</t>
  </si>
  <si>
    <t xml:space="preserve">P10: CUSTOMER EXPERIENCE &amp; SUPPORT [NEW]  |  Weeks 14+</t>
  </si>
  <si>
    <t xml:space="preserve">10A: Customer Support Infrastructure (Wk 14-18)</t>
  </si>
  <si>
    <t xml:space="preserve">10.01</t>
  </si>
  <si>
    <t xml:space="preserve">10A</t>
  </si>
  <si>
    <t xml:space="preserve">Select support channel (email-first, add chat at scale)</t>
  </si>
  <si>
    <t xml:space="preserve">Support channel defined</t>
  </si>
  <si>
    <t xml:space="preserve">Email configured</t>
  </si>
  <si>
    <t xml:space="preserve">P10A_Customer_Experience_Retention.md (5,171 words, 19 sections)</t>
  </si>
  <si>
    <t xml:space="preserve">10.02</t>
  </si>
  <si>
    <t xml:space="preserve">Create customer support email templates (sizing, returns, shipping)</t>
  </si>
  <si>
    <t xml:space="preserve">Templates created</t>
  </si>
  <si>
    <t xml:space="preserve">10+ common scenarios</t>
  </si>
  <si>
    <t xml:space="preserve">10.03</t>
  </si>
  <si>
    <t xml:space="preserve">Build comprehensive FAQ page (20+ questions)</t>
  </si>
  <si>
    <t xml:space="preserve">20+ questions</t>
  </si>
  <si>
    <t xml:space="preserve">10.04</t>
  </si>
  <si>
    <t xml:space="preserve">Define SLA: response time targets (&lt;4 hours business hours)</t>
  </si>
  <si>
    <t xml:space="preserve">SLA defined</t>
  </si>
  <si>
    <t xml:space="preserve">Under 4 hours target</t>
  </si>
  <si>
    <t xml:space="preserve">10.05</t>
  </si>
  <si>
    <t xml:space="preserve">Set up support ticketing (Gorgias or Freshdesk free tier)</t>
  </si>
  <si>
    <t xml:space="preserve">Ticketing system active</t>
  </si>
  <si>
    <t xml:space="preserve">All channels routed</t>
  </si>
  <si>
    <t xml:space="preserve">10B: Size Guide &amp; Fit Optimization (Wk 16-20)</t>
  </si>
  <si>
    <t xml:space="preserve">10.06</t>
  </si>
  <si>
    <t xml:space="preserve">10B</t>
  </si>
  <si>
    <t xml:space="preserve">Create detailed size chart with body measurements</t>
  </si>
  <si>
    <t xml:space="preserve">Size chart published</t>
  </si>
  <si>
    <t xml:space="preserve">Waist, hip, inseam data</t>
  </si>
  <si>
    <t xml:space="preserve">10.07</t>
  </si>
  <si>
    <t xml:space="preserve">Build brand size converter (Path Projects, Patagonia, Nike, Salomon)</t>
  </si>
  <si>
    <t xml:space="preserve">Brand converter live</t>
  </si>
  <si>
    <t xml:space="preserve">4+ brands included</t>
  </si>
  <si>
    <t xml:space="preserve">10.08</t>
  </si>
  <si>
    <t xml:space="preserve">Add fit photos showing diverse body types (6+ models)</t>
  </si>
  <si>
    <t xml:space="preserve">Fit photos published</t>
  </si>
  <si>
    <t xml:space="preserve">6+ body types shown</t>
  </si>
  <si>
    <t xml:space="preserve">10.09</t>
  </si>
  <si>
    <t xml:space="preserve">Create 'How to measure yourself' video or infographic</t>
  </si>
  <si>
    <t xml:space="preserve">Measurement guide live</t>
  </si>
  <si>
    <t xml:space="preserve">Video or infographic</t>
  </si>
  <si>
    <t xml:space="preserve">10.10</t>
  </si>
  <si>
    <t xml:space="preserve">Monitor and iterate size guide based on return/exchange data</t>
  </si>
  <si>
    <t xml:space="preserve">Size guide updated</t>
  </si>
  <si>
    <t xml:space="preserve">Based on return patterns</t>
  </si>
  <si>
    <t xml:space="preserve">10C: Post-Purchase Experience (Wk 18+)</t>
  </si>
  <si>
    <t xml:space="preserve">10.11</t>
  </si>
  <si>
    <t xml:space="preserve">10C</t>
  </si>
  <si>
    <t xml:space="preserve">Design order confirmation email (branded, exciting, next steps)</t>
  </si>
  <si>
    <t xml:space="preserve">Confirmation email branded</t>
  </si>
  <si>
    <t xml:space="preserve">Matches brand voice</t>
  </si>
  <si>
    <t xml:space="preserve">10.12</t>
  </si>
  <si>
    <t xml:space="preserve">Design shipping confirmation with tracking + care tips</t>
  </si>
  <si>
    <t xml:space="preserve">Shipping email branded</t>
  </si>
  <si>
    <t xml:space="preserve">Tracking + tips included</t>
  </si>
  <si>
    <t xml:space="preserve">10.13</t>
  </si>
  <si>
    <t xml:space="preserve">Create DWR care guide (how to reactivate via tumble dryer)</t>
  </si>
  <si>
    <t xml:space="preserve">DWR care guide published</t>
  </si>
  <si>
    <t xml:space="preserve">On website + in packaging</t>
  </si>
  <si>
    <t xml:space="preserve">10.14</t>
  </si>
  <si>
    <t xml:space="preserve">Set up review request automation (Day 14 post-delivery)</t>
  </si>
  <si>
    <t xml:space="preserve">Review requests active</t>
  </si>
  <si>
    <t xml:space="preserve">Auto-sent at Day 14</t>
  </si>
  <si>
    <t xml:space="preserve">Judge.me</t>
  </si>
  <si>
    <t xml:space="preserve">10.15</t>
  </si>
  <si>
    <t xml:space="preserve">Create unboxing experience walkthrough (modular system setup)</t>
  </si>
  <si>
    <t xml:space="preserve">Unboxing guide included</t>
  </si>
  <si>
    <t xml:space="preserve">In every package</t>
  </si>
  <si>
    <t xml:space="preserve">10D: Customer Feedback Loop [NEW] (Wk 22+)</t>
  </si>
  <si>
    <t xml:space="preserve">10.16</t>
  </si>
  <si>
    <t xml:space="preserve">10D</t>
  </si>
  <si>
    <t xml:space="preserve">Deploy NPS survey at Day 30 post-purchase</t>
  </si>
  <si>
    <t xml:space="preserve">NPS survey active</t>
  </si>
  <si>
    <t xml:space="preserve">Auto-sent at Day 30</t>
  </si>
  <si>
    <t xml:space="preserve">10.17</t>
  </si>
  <si>
    <t xml:space="preserve">Create product feedback form for detailed feature feedback</t>
  </si>
  <si>
    <t xml:space="preserve">Wk 22</t>
  </si>
  <si>
    <t xml:space="preserve">Feedback form live</t>
  </si>
  <si>
    <t xml:space="preserve">Accessible via QR + email</t>
  </si>
  <si>
    <t xml:space="preserve">10.18</t>
  </si>
  <si>
    <t xml:space="preserve">Build system to route feedback to product team (spreadsheet/Notion)</t>
  </si>
  <si>
    <t xml:space="preserve">Feedback routing active</t>
  </si>
  <si>
    <t xml:space="preserve">All feedback categorized</t>
  </si>
  <si>
    <t xml:space="preserve">10.19</t>
  </si>
  <si>
    <t xml:space="preserve">Review customer feedback monthly and identify trends</t>
  </si>
  <si>
    <t xml:space="preserve">Monthly review complete</t>
  </si>
  <si>
    <t xml:space="preserve">Trends documented</t>
  </si>
  <si>
    <t xml:space="preserve">10.20</t>
  </si>
  <si>
    <t xml:space="preserve">Share customer wins/testimonials on social media (with permission)</t>
  </si>
  <si>
    <t xml:space="preserve">Testimonials shared monthly</t>
  </si>
  <si>
    <t xml:space="preserve">2+ per month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</si>
</sst>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721C24"/>
      <name val="Arial"/>
      <family val="0"/>
      <charset val="1"/>
    </font>
    <font>
      <b val="true"/>
      <sz val="9"/>
      <color rgb="FF856404"/>
      <name val="Arial"/>
      <family val="0"/>
      <charset val="1"/>
    </font>
    <font>
      <sz val="9"/>
      <color rgb="FF0C5460"/>
      <name val="Arial"/>
      <family val="0"/>
      <charset val="1"/>
    </font>
    <font>
      <sz val="9"/>
      <color rgb="FF15572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9"/>
      <color rgb="FF1F4E7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2D3436"/>
      </patternFill>
    </fill>
    <fill>
      <patternFill patternType="solid">
        <fgColor rgb="FFFFFFFF"/>
        <bgColor rgb="FFF5F5F5"/>
      </patternFill>
    </fill>
    <fill>
      <patternFill patternType="solid">
        <fgColor rgb="FFC6EFCE"/>
        <bgColor rgb="FFD4EDDA"/>
      </patternFill>
    </fill>
    <fill>
      <patternFill patternType="solid">
        <fgColor rgb="FFF5F5F5"/>
        <bgColor rgb="FFFFFFFF"/>
      </patternFill>
    </fill>
    <fill>
      <patternFill patternType="solid">
        <fgColor rgb="FF1F4E79"/>
        <bgColor rgb="FF2E5A88"/>
      </patternFill>
    </fill>
    <fill>
      <patternFill patternType="solid">
        <fgColor rgb="FF8B0000"/>
        <bgColor rgb="FF721C24"/>
      </patternFill>
    </fill>
    <fill>
      <patternFill patternType="solid">
        <fgColor rgb="FF2D3436"/>
        <bgColor rgb="FF1B2A4A"/>
      </patternFill>
    </fill>
    <fill>
      <patternFill patternType="solid">
        <fgColor rgb="FFF8D7DA"/>
        <bgColor rgb="FFFCE4EC"/>
      </patternFill>
    </fill>
    <fill>
      <patternFill patternType="solid">
        <fgColor rgb="FFFFF3CD"/>
        <bgColor rgb="FFF5F5F5"/>
      </patternFill>
    </fill>
    <fill>
      <patternFill patternType="solid">
        <fgColor rgb="FFD1ECF1"/>
        <bgColor rgb="FFD4EDDA"/>
      </patternFill>
    </fill>
    <fill>
      <patternFill patternType="solid">
        <fgColor rgb="FFD4EDDA"/>
        <bgColor rgb="FFD1ECF1"/>
      </patternFill>
    </fill>
    <fill>
      <patternFill patternType="solid">
        <fgColor rgb="FFFCE4EC"/>
        <bgColor rgb="FFF8D7DA"/>
      </patternFill>
    </fill>
    <fill>
      <patternFill patternType="solid">
        <fgColor rgb="FF2E5A88"/>
        <bgColor rgb="FF1F4E79"/>
      </patternFill>
    </fill>
    <fill>
      <patternFill patternType="solid">
        <fgColor rgb="FFBDD7EE"/>
        <bgColor rgb="FFD0D0D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B2A4A"/>
      </top>
      <bottom style="medium">
        <color rgb="FF1B2A4A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56404"/>
      <rgbColor rgb="FF880E4F"/>
      <rgbColor rgb="FF0C5460"/>
      <rgbColor rgb="FFCCCCCC"/>
      <rgbColor rgb="FF808080"/>
      <rgbColor rgb="FF9999FF"/>
      <rgbColor rgb="FF9C27B0"/>
      <rgbColor rgb="FFFFF3CD"/>
      <rgbColor rgb="FFD1ECF1"/>
      <rgbColor rgb="FF660066"/>
      <rgbColor rgb="FFFF8080"/>
      <rgbColor rgb="FF2E5A88"/>
      <rgbColor rgb="FFBDD7EE"/>
      <rgbColor rgb="FF000080"/>
      <rgbColor rgb="FFFF00FF"/>
      <rgbColor rgb="FFFFFF00"/>
      <rgbColor rgb="FF00FFFF"/>
      <rgbColor rgb="FF800080"/>
      <rgbColor rgb="FF721C24"/>
      <rgbColor rgb="FF666666"/>
      <rgbColor rgb="FF0000FF"/>
      <rgbColor rgb="FF00BCD4"/>
      <rgbColor rgb="FFD4EDDA"/>
      <rgbColor rgb="FFC6EFCE"/>
      <rgbColor rgb="FFF5F5F5"/>
      <rgbColor rgb="FFD0D0D0"/>
      <rgbColor rgb="FFFCE4EC"/>
      <rgbColor rgb="FFCC99FF"/>
      <rgbColor rgb="FFF8D7DA"/>
      <rgbColor rgb="FF2196F3"/>
      <rgbColor rgb="FF33CCCC"/>
      <rgbColor rgb="FF8BC34A"/>
      <rgbColor rgb="FFFFCC00"/>
      <rgbColor rgb="FFFF8C00"/>
      <rgbColor rgb="FFFF5722"/>
      <rgbColor rgb="FF546E7A"/>
      <rgbColor rgb="FF607D8B"/>
      <rgbColor rgb="FF1B2A4A"/>
      <rgbColor rgb="FF4CAF50"/>
      <rgbColor rgb="FF155724"/>
      <rgbColor rgb="FF1A1A1A"/>
      <rgbColor rgb="FFE53935"/>
      <rgbColor rgb="FF795548"/>
      <rgbColor rgb="FF1F4E7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5"/>
    <col collapsed="false" customWidth="true" hidden="false" outlineLevel="0" max="3" min="3" style="1" width="15"/>
    <col collapsed="false" customWidth="true" hidden="false" outlineLevel="0" max="4" min="4" style="1" width="70"/>
    <col collapsed="false" customWidth="true" hidden="false" outlineLevel="0" max="7" min="5" style="1" width="12"/>
    <col collapsed="false" customWidth="true" hidden="false" outlineLevel="0" max="10" min="8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5" t="n">
        <v>7</v>
      </c>
      <c r="E5" s="5" t="n">
        <v>42</v>
      </c>
      <c r="F5" s="6" t="n">
        <v>46</v>
      </c>
      <c r="G5" s="7" t="n">
        <v>1</v>
      </c>
      <c r="H5" s="5" t="s">
        <v>15</v>
      </c>
      <c r="I5" s="5" t="s">
        <v>16</v>
      </c>
      <c r="J5" s="5" t="s">
        <v>17</v>
      </c>
    </row>
    <row r="6" customFormat="false" ht="15" hidden="false" customHeight="true" outlineLevel="0" collapsed="false">
      <c r="A6" s="8" t="s">
        <v>18</v>
      </c>
      <c r="B6" s="8" t="s">
        <v>19</v>
      </c>
      <c r="C6" s="8" t="s">
        <v>20</v>
      </c>
      <c r="D6" s="8" t="n">
        <v>6</v>
      </c>
      <c r="E6" s="8" t="n">
        <v>38</v>
      </c>
      <c r="F6" s="9" t="n">
        <v>42</v>
      </c>
      <c r="G6" s="7" t="n">
        <v>1</v>
      </c>
      <c r="H6" s="8" t="s">
        <v>15</v>
      </c>
      <c r="I6" s="8" t="s">
        <v>21</v>
      </c>
      <c r="J6" s="8" t="s">
        <v>22</v>
      </c>
    </row>
    <row r="7" customFormat="false" ht="15" hidden="false" customHeight="true" outlineLevel="0" collapsed="false">
      <c r="A7" s="5" t="s">
        <v>23</v>
      </c>
      <c r="B7" s="5" t="s">
        <v>24</v>
      </c>
      <c r="C7" s="5" t="s">
        <v>25</v>
      </c>
      <c r="D7" s="5" t="n">
        <v>7</v>
      </c>
      <c r="E7" s="5" t="n">
        <v>45</v>
      </c>
      <c r="F7" s="6" t="n">
        <v>50</v>
      </c>
      <c r="G7" s="7" t="n">
        <v>1</v>
      </c>
      <c r="H7" s="5" t="s">
        <v>15</v>
      </c>
      <c r="I7" s="5" t="s">
        <v>26</v>
      </c>
      <c r="J7" s="5" t="s">
        <v>27</v>
      </c>
    </row>
    <row r="8" customFormat="false" ht="15" hidden="false" customHeight="true" outlineLevel="0" collapsed="false">
      <c r="A8" s="8" t="s">
        <v>28</v>
      </c>
      <c r="B8" s="8" t="s">
        <v>29</v>
      </c>
      <c r="C8" s="8" t="s">
        <v>30</v>
      </c>
      <c r="D8" s="8" t="n">
        <v>5</v>
      </c>
      <c r="E8" s="8" t="n">
        <v>30</v>
      </c>
      <c r="F8" s="9" t="n">
        <v>27</v>
      </c>
      <c r="G8" s="7" t="n">
        <v>1</v>
      </c>
      <c r="H8" s="8" t="s">
        <v>15</v>
      </c>
      <c r="I8" s="8" t="s">
        <v>31</v>
      </c>
      <c r="J8" s="8" t="s">
        <v>32</v>
      </c>
    </row>
    <row r="9" customFormat="false" ht="15" hidden="false" customHeight="true" outlineLevel="0" collapsed="false">
      <c r="A9" s="5" t="s">
        <v>33</v>
      </c>
      <c r="B9" s="5" t="s">
        <v>34</v>
      </c>
      <c r="C9" s="5" t="s">
        <v>35</v>
      </c>
      <c r="D9" s="5" t="n">
        <v>7</v>
      </c>
      <c r="E9" s="5" t="n">
        <v>48</v>
      </c>
      <c r="F9" s="6" t="n">
        <v>39</v>
      </c>
      <c r="G9" s="7" t="n">
        <v>1</v>
      </c>
      <c r="H9" s="5" t="s">
        <v>15</v>
      </c>
      <c r="I9" s="5" t="s">
        <v>36</v>
      </c>
      <c r="J9" s="5" t="s">
        <v>37</v>
      </c>
    </row>
    <row r="10" customFormat="false" ht="15" hidden="false" customHeight="true" outlineLevel="0" collapsed="false">
      <c r="A10" s="8" t="s">
        <v>38</v>
      </c>
      <c r="B10" s="8" t="s">
        <v>39</v>
      </c>
      <c r="C10" s="8" t="s">
        <v>40</v>
      </c>
      <c r="D10" s="8" t="n">
        <v>6</v>
      </c>
      <c r="E10" s="8" t="n">
        <v>35</v>
      </c>
      <c r="F10" s="9" t="n">
        <v>33</v>
      </c>
      <c r="G10" s="7" t="n">
        <v>1</v>
      </c>
      <c r="H10" s="8" t="s">
        <v>15</v>
      </c>
      <c r="I10" s="8" t="s">
        <v>41</v>
      </c>
      <c r="J10" s="8" t="s">
        <v>42</v>
      </c>
    </row>
    <row r="11" customFormat="false" ht="15" hidden="false" customHeight="true" outlineLevel="0" collapsed="false">
      <c r="A11" s="5" t="s">
        <v>43</v>
      </c>
      <c r="B11" s="5" t="s">
        <v>44</v>
      </c>
      <c r="C11" s="5" t="s">
        <v>45</v>
      </c>
      <c r="D11" s="5" t="n">
        <v>7</v>
      </c>
      <c r="E11" s="5" t="n">
        <v>38</v>
      </c>
      <c r="F11" s="6" t="n">
        <v>34</v>
      </c>
      <c r="G11" s="7" t="n">
        <v>1</v>
      </c>
      <c r="H11" s="5" t="s">
        <v>15</v>
      </c>
      <c r="I11" s="5" t="s">
        <v>46</v>
      </c>
      <c r="J11" s="5" t="s">
        <v>47</v>
      </c>
    </row>
    <row r="12" customFormat="false" ht="15" hidden="false" customHeight="true" outlineLevel="0" collapsed="false">
      <c r="A12" s="8" t="s">
        <v>48</v>
      </c>
      <c r="B12" s="8" t="s">
        <v>49</v>
      </c>
      <c r="C12" s="8" t="s">
        <v>50</v>
      </c>
      <c r="D12" s="8" t="n">
        <v>5</v>
      </c>
      <c r="E12" s="8" t="n">
        <v>28</v>
      </c>
      <c r="F12" s="9" t="n">
        <v>24</v>
      </c>
      <c r="G12" s="7" t="n">
        <v>1</v>
      </c>
      <c r="H12" s="8" t="s">
        <v>15</v>
      </c>
      <c r="I12" s="8" t="s">
        <v>51</v>
      </c>
      <c r="J12" s="8" t="s">
        <v>52</v>
      </c>
    </row>
    <row r="13" customFormat="false" ht="15" hidden="false" customHeight="true" outlineLevel="0" collapsed="false">
      <c r="A13" s="5" t="s">
        <v>53</v>
      </c>
      <c r="B13" s="5" t="s">
        <v>54</v>
      </c>
      <c r="C13" s="5" t="s">
        <v>55</v>
      </c>
      <c r="D13" s="5" t="n">
        <v>5</v>
      </c>
      <c r="E13" s="5" t="n">
        <v>26</v>
      </c>
      <c r="F13" s="6" t="n">
        <v>23</v>
      </c>
      <c r="G13" s="7" t="n">
        <v>1</v>
      </c>
      <c r="H13" s="5" t="s">
        <v>15</v>
      </c>
      <c r="I13" s="5" t="s">
        <v>56</v>
      </c>
      <c r="J13" s="5" t="s">
        <v>57</v>
      </c>
    </row>
    <row r="14" customFormat="false" ht="15" hidden="false" customHeight="true" outlineLevel="0" collapsed="false">
      <c r="A14" s="8" t="s">
        <v>58</v>
      </c>
      <c r="B14" s="8" t="s">
        <v>59</v>
      </c>
      <c r="C14" s="8" t="s">
        <v>60</v>
      </c>
      <c r="D14" s="8" t="n">
        <v>5</v>
      </c>
      <c r="E14" s="8" t="n">
        <v>25</v>
      </c>
      <c r="F14" s="9" t="n">
        <v>23</v>
      </c>
      <c r="G14" s="7" t="n">
        <v>1</v>
      </c>
      <c r="H14" s="8" t="s">
        <v>15</v>
      </c>
      <c r="I14" s="8" t="s">
        <v>61</v>
      </c>
      <c r="J14" s="8" t="s">
        <v>62</v>
      </c>
    </row>
    <row r="15" customFormat="false" ht="15" hidden="false" customHeight="true" outlineLevel="0" collapsed="false">
      <c r="A15" s="5" t="s">
        <v>63</v>
      </c>
      <c r="B15" s="5" t="s">
        <v>64</v>
      </c>
      <c r="C15" s="5" t="s">
        <v>65</v>
      </c>
      <c r="D15" s="5" t="n">
        <v>4</v>
      </c>
      <c r="E15" s="5" t="n">
        <v>22</v>
      </c>
      <c r="F15" s="6" t="n">
        <v>20</v>
      </c>
      <c r="G15" s="7" t="n">
        <v>1</v>
      </c>
      <c r="H15" s="5" t="s">
        <v>15</v>
      </c>
      <c r="I15" s="5" t="s">
        <v>56</v>
      </c>
      <c r="J15" s="5" t="s">
        <v>66</v>
      </c>
    </row>
    <row r="16" customFormat="false" ht="15" hidden="false" customHeight="true" outlineLevel="0" collapsed="false">
      <c r="A16" s="10" t="s">
        <v>67</v>
      </c>
      <c r="B16" s="10"/>
      <c r="C16" s="10"/>
      <c r="D16" s="10" t="n">
        <f aca="false">SUM(D5:D15)</f>
        <v>64</v>
      </c>
      <c r="E16" s="10" t="n">
        <f aca="false">SUM(E5:E15)</f>
        <v>377</v>
      </c>
      <c r="F16" s="10" t="n">
        <f aca="false">SUM(F5:F15)</f>
        <v>361</v>
      </c>
      <c r="G16" s="11" t="n">
        <f aca="false">IF(E16&gt;0,F16/E16,0)</f>
        <v>0.957559681697613</v>
      </c>
      <c r="H16" s="10"/>
      <c r="I16" s="10"/>
      <c r="J16" s="10"/>
    </row>
    <row r="18" customFormat="false" ht="15" hidden="false" customHeight="true" outlineLevel="0" collapsed="false">
      <c r="A18" s="12" t="s">
        <v>68</v>
      </c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23.25" hidden="false" customHeight="true" outlineLevel="0" collapsed="false">
      <c r="A19" s="4" t="s">
        <v>69</v>
      </c>
      <c r="B19" s="4" t="s">
        <v>70</v>
      </c>
      <c r="C19" s="4" t="s">
        <v>9</v>
      </c>
      <c r="D19" s="4" t="s">
        <v>71</v>
      </c>
      <c r="E19" s="4" t="s">
        <v>72</v>
      </c>
      <c r="F19" s="4" t="s">
        <v>73</v>
      </c>
    </row>
    <row r="20" customFormat="false" ht="32.25" hidden="false" customHeight="true" outlineLevel="0" collapsed="false">
      <c r="A20" s="13" t="s">
        <v>74</v>
      </c>
      <c r="B20" s="5" t="s">
        <v>75</v>
      </c>
      <c r="C20" s="5" t="s">
        <v>15</v>
      </c>
      <c r="D20" s="5" t="s">
        <v>76</v>
      </c>
      <c r="E20" s="5" t="s">
        <v>77</v>
      </c>
      <c r="F20" s="5" t="s">
        <v>78</v>
      </c>
    </row>
    <row r="21" customFormat="false" ht="32.25" hidden="false" customHeight="true" outlineLevel="0" collapsed="false">
      <c r="A21" s="14" t="s">
        <v>2</v>
      </c>
      <c r="B21" s="14" t="s">
        <v>79</v>
      </c>
      <c r="C21" s="14" t="s">
        <v>9</v>
      </c>
      <c r="D21" s="14" t="s">
        <v>80</v>
      </c>
      <c r="E21" s="8" t="s">
        <v>81</v>
      </c>
      <c r="F21" s="8" t="s">
        <v>82</v>
      </c>
    </row>
    <row r="22" customFormat="false" ht="32.25" hidden="false" customHeight="true" outlineLevel="0" collapsed="false">
      <c r="A22" s="6" t="s">
        <v>12</v>
      </c>
      <c r="B22" s="15" t="s">
        <v>83</v>
      </c>
      <c r="C22" s="16" t="s">
        <v>84</v>
      </c>
      <c r="D22" s="15" t="s">
        <v>85</v>
      </c>
      <c r="E22" s="5" t="s">
        <v>86</v>
      </c>
      <c r="F22" s="5" t="s">
        <v>87</v>
      </c>
    </row>
    <row r="23" customFormat="false" ht="32.25" hidden="false" customHeight="true" outlineLevel="0" collapsed="false">
      <c r="A23" s="9" t="s">
        <v>18</v>
      </c>
      <c r="B23" s="17" t="s">
        <v>88</v>
      </c>
      <c r="C23" s="16" t="s">
        <v>84</v>
      </c>
      <c r="D23" s="17" t="s">
        <v>89</v>
      </c>
      <c r="E23" s="8" t="s">
        <v>77</v>
      </c>
      <c r="F23" s="8" t="s">
        <v>90</v>
      </c>
    </row>
    <row r="24" customFormat="false" ht="42.75" hidden="false" customHeight="true" outlineLevel="0" collapsed="false">
      <c r="A24" s="6" t="s">
        <v>91</v>
      </c>
      <c r="B24" s="15" t="s">
        <v>24</v>
      </c>
      <c r="C24" s="16" t="s">
        <v>84</v>
      </c>
      <c r="D24" s="15" t="s">
        <v>92</v>
      </c>
      <c r="E24" s="5" t="s">
        <v>86</v>
      </c>
      <c r="F24" s="5" t="s">
        <v>93</v>
      </c>
    </row>
    <row r="25" customFormat="false" ht="21.75" hidden="false" customHeight="true" outlineLevel="0" collapsed="false">
      <c r="A25" s="9" t="s">
        <v>94</v>
      </c>
      <c r="B25" s="17" t="s">
        <v>95</v>
      </c>
      <c r="C25" s="16" t="s">
        <v>84</v>
      </c>
      <c r="D25" s="17" t="s">
        <v>96</v>
      </c>
      <c r="E25" s="8" t="s">
        <v>77</v>
      </c>
      <c r="F25" s="8" t="s">
        <v>97</v>
      </c>
    </row>
    <row r="26" customFormat="false" ht="32.25" hidden="false" customHeight="true" outlineLevel="0" collapsed="false">
      <c r="A26" s="6" t="s">
        <v>98</v>
      </c>
      <c r="B26" s="15" t="s">
        <v>99</v>
      </c>
      <c r="C26" s="16" t="s">
        <v>84</v>
      </c>
      <c r="D26" s="15" t="s">
        <v>100</v>
      </c>
      <c r="E26" s="5" t="s">
        <v>77</v>
      </c>
      <c r="F26" s="5" t="s">
        <v>101</v>
      </c>
    </row>
    <row r="27" customFormat="false" ht="32.25" hidden="false" customHeight="true" outlineLevel="0" collapsed="false">
      <c r="A27" s="9" t="s">
        <v>102</v>
      </c>
      <c r="B27" s="17" t="s">
        <v>29</v>
      </c>
      <c r="C27" s="16" t="s">
        <v>84</v>
      </c>
      <c r="D27" s="17" t="s">
        <v>103</v>
      </c>
      <c r="E27" s="8" t="s">
        <v>77</v>
      </c>
      <c r="F27" s="8" t="s">
        <v>104</v>
      </c>
    </row>
    <row r="28" customFormat="false" ht="32.25" hidden="false" customHeight="true" outlineLevel="0" collapsed="false">
      <c r="A28" s="6" t="s">
        <v>105</v>
      </c>
      <c r="B28" s="15" t="s">
        <v>106</v>
      </c>
      <c r="C28" s="16" t="s">
        <v>84</v>
      </c>
      <c r="D28" s="15" t="s">
        <v>107</v>
      </c>
      <c r="E28" s="5" t="s">
        <v>81</v>
      </c>
      <c r="F28" s="5" t="s">
        <v>108</v>
      </c>
    </row>
    <row r="29" customFormat="false" ht="32.25" hidden="false" customHeight="true" outlineLevel="0" collapsed="false">
      <c r="A29" s="9" t="s">
        <v>109</v>
      </c>
      <c r="B29" s="17" t="s">
        <v>110</v>
      </c>
      <c r="C29" s="16" t="s">
        <v>84</v>
      </c>
      <c r="D29" s="17" t="s">
        <v>111</v>
      </c>
      <c r="E29" s="8" t="s">
        <v>77</v>
      </c>
      <c r="F29" s="8" t="s">
        <v>112</v>
      </c>
    </row>
    <row r="30" customFormat="false" ht="32.25" hidden="false" customHeight="true" outlineLevel="0" collapsed="false">
      <c r="A30" s="6" t="s">
        <v>113</v>
      </c>
      <c r="B30" s="15" t="s">
        <v>114</v>
      </c>
      <c r="C30" s="16" t="s">
        <v>84</v>
      </c>
      <c r="D30" s="15" t="s">
        <v>115</v>
      </c>
      <c r="E30" s="5" t="s">
        <v>77</v>
      </c>
      <c r="F30" s="5" t="s">
        <v>116</v>
      </c>
    </row>
    <row r="31" customFormat="false" ht="15" hidden="false" customHeight="true" outlineLevel="0" collapsed="false">
      <c r="A31" s="18" t="s">
        <v>117</v>
      </c>
      <c r="B31" s="19" t="s">
        <v>49</v>
      </c>
      <c r="C31" s="20" t="s">
        <v>84</v>
      </c>
      <c r="D31" s="19" t="s">
        <v>118</v>
      </c>
    </row>
    <row r="32" customFormat="false" ht="15" hidden="false" customHeight="true" outlineLevel="0" collapsed="false">
      <c r="A32" s="18" t="s">
        <v>119</v>
      </c>
      <c r="B32" s="19" t="s">
        <v>54</v>
      </c>
      <c r="C32" s="20" t="s">
        <v>84</v>
      </c>
      <c r="D32" s="19" t="s">
        <v>120</v>
      </c>
    </row>
    <row r="33" customFormat="false" ht="15" hidden="false" customHeight="true" outlineLevel="0" collapsed="false">
      <c r="A33" s="18" t="s">
        <v>121</v>
      </c>
      <c r="B33" s="19" t="s">
        <v>122</v>
      </c>
      <c r="C33" s="20" t="s">
        <v>84</v>
      </c>
      <c r="D33" s="19" t="s">
        <v>123</v>
      </c>
    </row>
    <row r="35" customFormat="false" ht="15" hidden="false" customHeight="true" outlineLevel="0" collapsed="false">
      <c r="A35" s="21" t="s">
        <v>124</v>
      </c>
    </row>
    <row r="36" customFormat="false" ht="15" hidden="false" customHeight="true" outlineLevel="0" collapsed="false">
      <c r="A36" s="22" t="s">
        <v>125</v>
      </c>
    </row>
    <row r="37" customFormat="false" ht="15" hidden="false" customHeight="true" outlineLevel="0" collapsed="false">
      <c r="A37" s="23" t="s">
        <v>126</v>
      </c>
    </row>
  </sheetData>
  <mergeCells count="3">
    <mergeCell ref="A1:J1"/>
    <mergeCell ref="A2:J2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45"/>
    <col collapsed="false" customWidth="true" hidden="false" outlineLevel="0" max="4" min="4" style="1" width="35"/>
    <col collapsed="false" customWidth="true" hidden="false" outlineLevel="0" max="6" min="5" style="1" width="12"/>
    <col collapsed="false" customWidth="true" hidden="false" outlineLevel="0" max="7" min="7" style="1" width="50"/>
    <col collapsed="false" customWidth="true" hidden="false" outlineLevel="0" max="8" min="8" style="1" width="45"/>
    <col collapsed="false" customWidth="true" hidden="false" outlineLevel="0" max="9" min="9" style="1" width="18"/>
  </cols>
  <sheetData>
    <row r="1" customFormat="false" ht="30" hidden="false" customHeight="true" outlineLevel="0" collapsed="false">
      <c r="A1" s="24" t="s">
        <v>127</v>
      </c>
      <c r="B1" s="24"/>
      <c r="C1" s="24"/>
      <c r="D1" s="24"/>
      <c r="E1" s="24"/>
      <c r="F1" s="24"/>
      <c r="G1" s="24"/>
      <c r="H1" s="24"/>
      <c r="I1" s="24"/>
    </row>
    <row r="2" customFormat="false" ht="19.5" hidden="false" customHeight="true" outlineLevel="0" collapsed="false">
      <c r="A2" s="25" t="s">
        <v>128</v>
      </c>
      <c r="B2" s="25"/>
      <c r="C2" s="25"/>
      <c r="D2" s="25"/>
      <c r="E2" s="25"/>
      <c r="F2" s="25"/>
      <c r="G2" s="25"/>
      <c r="H2" s="25"/>
      <c r="I2" s="25"/>
    </row>
    <row r="3" customFormat="false" ht="64.5" hidden="false" customHeight="true" outlineLevel="0" collapsed="false"/>
    <row r="4" customFormat="false" ht="64.5" hidden="false" customHeight="true" outlineLevel="0" collapsed="false">
      <c r="A4" s="26" t="s">
        <v>129</v>
      </c>
      <c r="B4" s="26"/>
      <c r="C4" s="26"/>
      <c r="D4" s="26"/>
      <c r="E4" s="26"/>
      <c r="F4" s="26"/>
      <c r="G4" s="26"/>
      <c r="H4" s="26"/>
      <c r="I4" s="26"/>
    </row>
    <row r="5" customFormat="false" ht="64.5" hidden="false" customHeight="true" outlineLevel="0" collapsed="false">
      <c r="A5" s="27" t="s">
        <v>130</v>
      </c>
      <c r="B5" s="27" t="s">
        <v>79</v>
      </c>
      <c r="C5" s="27" t="s">
        <v>131</v>
      </c>
      <c r="D5" s="27" t="s">
        <v>132</v>
      </c>
      <c r="E5" s="27" t="s">
        <v>133</v>
      </c>
      <c r="F5" s="27" t="s">
        <v>134</v>
      </c>
      <c r="G5" s="27" t="s">
        <v>135</v>
      </c>
      <c r="H5" s="27" t="s">
        <v>136</v>
      </c>
      <c r="I5" s="27" t="s">
        <v>9</v>
      </c>
    </row>
    <row r="6" customFormat="false" ht="64.5" hidden="false" customHeight="true" outlineLevel="0" collapsed="false">
      <c r="A6" s="28" t="s">
        <v>137</v>
      </c>
      <c r="B6" s="28" t="s">
        <v>91</v>
      </c>
      <c r="C6" s="29" t="s">
        <v>138</v>
      </c>
      <c r="D6" s="29" t="s">
        <v>139</v>
      </c>
      <c r="E6" s="30" t="s">
        <v>140</v>
      </c>
      <c r="F6" s="29" t="s">
        <v>141</v>
      </c>
      <c r="G6" s="29" t="s">
        <v>142</v>
      </c>
      <c r="H6" s="29" t="s">
        <v>143</v>
      </c>
      <c r="I6" s="31" t="s">
        <v>144</v>
      </c>
    </row>
    <row r="7" customFormat="false" ht="64.5" hidden="false" customHeight="true" outlineLevel="0" collapsed="false">
      <c r="A7" s="28" t="s">
        <v>145</v>
      </c>
      <c r="B7" s="28" t="s">
        <v>91</v>
      </c>
      <c r="C7" s="29" t="s">
        <v>146</v>
      </c>
      <c r="D7" s="29" t="s">
        <v>147</v>
      </c>
      <c r="E7" s="32" t="s">
        <v>148</v>
      </c>
      <c r="F7" s="29" t="s">
        <v>141</v>
      </c>
      <c r="G7" s="29" t="s">
        <v>149</v>
      </c>
      <c r="H7" s="29" t="s">
        <v>150</v>
      </c>
      <c r="I7" s="32" t="s">
        <v>151</v>
      </c>
    </row>
    <row r="8" customFormat="false" ht="64.5" hidden="false" customHeight="true" outlineLevel="0" collapsed="false">
      <c r="A8" s="28" t="s">
        <v>152</v>
      </c>
      <c r="B8" s="28" t="s">
        <v>94</v>
      </c>
      <c r="C8" s="29" t="s">
        <v>153</v>
      </c>
      <c r="D8" s="29" t="s">
        <v>154</v>
      </c>
      <c r="E8" s="30" t="s">
        <v>140</v>
      </c>
      <c r="F8" s="29" t="s">
        <v>155</v>
      </c>
      <c r="G8" s="29" t="s">
        <v>156</v>
      </c>
      <c r="H8" s="29" t="s">
        <v>157</v>
      </c>
      <c r="I8" s="31" t="s">
        <v>144</v>
      </c>
    </row>
    <row r="9" customFormat="false" ht="64.5" hidden="false" customHeight="true" outlineLevel="0" collapsed="false">
      <c r="A9" s="28" t="s">
        <v>158</v>
      </c>
      <c r="B9" s="28" t="s">
        <v>94</v>
      </c>
      <c r="C9" s="29" t="s">
        <v>159</v>
      </c>
      <c r="D9" s="29" t="s">
        <v>160</v>
      </c>
      <c r="E9" s="32" t="s">
        <v>148</v>
      </c>
      <c r="F9" s="29" t="s">
        <v>161</v>
      </c>
      <c r="G9" s="29" t="s">
        <v>162</v>
      </c>
      <c r="H9" s="29" t="s">
        <v>163</v>
      </c>
      <c r="I9" s="32" t="s">
        <v>151</v>
      </c>
    </row>
    <row r="10" customFormat="false" ht="64.5" hidden="false" customHeight="true" outlineLevel="0" collapsed="false">
      <c r="A10" s="28" t="s">
        <v>164</v>
      </c>
      <c r="B10" s="28" t="s">
        <v>98</v>
      </c>
      <c r="C10" s="29" t="s">
        <v>165</v>
      </c>
      <c r="D10" s="29" t="s">
        <v>166</v>
      </c>
      <c r="E10" s="32" t="s">
        <v>148</v>
      </c>
      <c r="F10" s="29" t="s">
        <v>141</v>
      </c>
      <c r="G10" s="29" t="s">
        <v>167</v>
      </c>
      <c r="H10" s="29" t="s">
        <v>168</v>
      </c>
      <c r="I10" s="31" t="s">
        <v>144</v>
      </c>
    </row>
    <row r="11" customFormat="false" ht="64.5" hidden="false" customHeight="true" outlineLevel="0" collapsed="false">
      <c r="A11" s="28" t="s">
        <v>169</v>
      </c>
      <c r="B11" s="28" t="s">
        <v>98</v>
      </c>
      <c r="C11" s="29" t="s">
        <v>170</v>
      </c>
      <c r="D11" s="29" t="s">
        <v>171</v>
      </c>
      <c r="E11" s="33" t="s">
        <v>172</v>
      </c>
      <c r="F11" s="29" t="s">
        <v>141</v>
      </c>
      <c r="G11" s="29" t="s">
        <v>173</v>
      </c>
      <c r="H11" s="29" t="s">
        <v>174</v>
      </c>
      <c r="I11" s="32" t="s">
        <v>151</v>
      </c>
    </row>
    <row r="12" customFormat="false" ht="64.5" hidden="false" customHeight="true" outlineLevel="0" collapsed="false">
      <c r="A12" s="28" t="s">
        <v>175</v>
      </c>
      <c r="B12" s="28" t="s">
        <v>102</v>
      </c>
      <c r="C12" s="29" t="s">
        <v>176</v>
      </c>
      <c r="D12" s="29" t="s">
        <v>177</v>
      </c>
      <c r="E12" s="34" t="s">
        <v>178</v>
      </c>
      <c r="F12" s="29" t="s">
        <v>179</v>
      </c>
      <c r="G12" s="29" t="s">
        <v>180</v>
      </c>
      <c r="H12" s="29" t="s">
        <v>181</v>
      </c>
      <c r="I12" s="34" t="s">
        <v>182</v>
      </c>
    </row>
    <row r="13" customFormat="false" ht="64.5" hidden="false" customHeight="true" outlineLevel="0" collapsed="false">
      <c r="A13" s="28" t="s">
        <v>183</v>
      </c>
      <c r="B13" s="28" t="s">
        <v>102</v>
      </c>
      <c r="C13" s="29" t="s">
        <v>184</v>
      </c>
      <c r="D13" s="29" t="s">
        <v>185</v>
      </c>
      <c r="E13" s="30" t="s">
        <v>140</v>
      </c>
      <c r="F13" s="29" t="s">
        <v>179</v>
      </c>
      <c r="G13" s="29" t="s">
        <v>186</v>
      </c>
      <c r="H13" s="29" t="s">
        <v>187</v>
      </c>
      <c r="I13" s="32" t="s">
        <v>151</v>
      </c>
    </row>
    <row r="14" customFormat="false" ht="64.5" hidden="false" customHeight="true" outlineLevel="0" collapsed="false">
      <c r="A14" s="28" t="s">
        <v>188</v>
      </c>
      <c r="B14" s="28" t="s">
        <v>102</v>
      </c>
      <c r="C14" s="29" t="s">
        <v>189</v>
      </c>
      <c r="D14" s="29" t="s">
        <v>190</v>
      </c>
      <c r="E14" s="34" t="s">
        <v>178</v>
      </c>
      <c r="F14" s="29" t="s">
        <v>179</v>
      </c>
      <c r="G14" s="29" t="s">
        <v>191</v>
      </c>
      <c r="H14" s="29" t="s">
        <v>192</v>
      </c>
      <c r="I14" s="34" t="s">
        <v>182</v>
      </c>
    </row>
    <row r="15" customFormat="false" ht="64.5" hidden="false" customHeight="true" outlineLevel="0" collapsed="false">
      <c r="A15" s="28" t="s">
        <v>193</v>
      </c>
      <c r="B15" s="28" t="s">
        <v>105</v>
      </c>
      <c r="C15" s="29" t="s">
        <v>194</v>
      </c>
      <c r="D15" s="29" t="s">
        <v>195</v>
      </c>
      <c r="E15" s="32" t="s">
        <v>148</v>
      </c>
      <c r="F15" s="29" t="s">
        <v>141</v>
      </c>
      <c r="G15" s="29" t="s">
        <v>196</v>
      </c>
      <c r="H15" s="29" t="s">
        <v>197</v>
      </c>
      <c r="I15" s="32" t="s">
        <v>151</v>
      </c>
    </row>
    <row r="16" customFormat="false" ht="64.5" hidden="false" customHeight="true" outlineLevel="0" collapsed="false">
      <c r="A16" s="28" t="s">
        <v>198</v>
      </c>
      <c r="B16" s="28" t="s">
        <v>105</v>
      </c>
      <c r="C16" s="29" t="s">
        <v>199</v>
      </c>
      <c r="D16" s="29" t="s">
        <v>200</v>
      </c>
      <c r="E16" s="32" t="s">
        <v>148</v>
      </c>
      <c r="F16" s="29" t="s">
        <v>141</v>
      </c>
      <c r="G16" s="29" t="s">
        <v>201</v>
      </c>
      <c r="H16" s="29" t="s">
        <v>202</v>
      </c>
      <c r="I16" s="32" t="s">
        <v>151</v>
      </c>
    </row>
    <row r="17" customFormat="false" ht="64.5" hidden="false" customHeight="true" outlineLevel="0" collapsed="false">
      <c r="A17" s="28" t="s">
        <v>203</v>
      </c>
      <c r="B17" s="28" t="s">
        <v>105</v>
      </c>
      <c r="C17" s="29" t="s">
        <v>204</v>
      </c>
      <c r="D17" s="29" t="s">
        <v>205</v>
      </c>
      <c r="E17" s="33" t="s">
        <v>172</v>
      </c>
      <c r="F17" s="29" t="s">
        <v>141</v>
      </c>
      <c r="G17" s="29" t="s">
        <v>206</v>
      </c>
      <c r="H17" s="29" t="s">
        <v>207</v>
      </c>
      <c r="I17" s="32" t="s">
        <v>151</v>
      </c>
    </row>
    <row r="18" customFormat="false" ht="64.5" hidden="false" customHeight="true" outlineLevel="0" collapsed="false">
      <c r="A18" s="28" t="s">
        <v>208</v>
      </c>
      <c r="B18" s="28" t="s">
        <v>109</v>
      </c>
      <c r="C18" s="29" t="s">
        <v>209</v>
      </c>
      <c r="D18" s="29" t="s">
        <v>210</v>
      </c>
      <c r="E18" s="33" t="s">
        <v>172</v>
      </c>
      <c r="F18" s="29" t="s">
        <v>141</v>
      </c>
      <c r="G18" s="29" t="s">
        <v>211</v>
      </c>
      <c r="H18" s="29" t="s">
        <v>212</v>
      </c>
      <c r="I18" s="32" t="s">
        <v>151</v>
      </c>
    </row>
    <row r="19" customFormat="false" ht="64.5" hidden="false" customHeight="true" outlineLevel="0" collapsed="false">
      <c r="A19" s="28" t="s">
        <v>213</v>
      </c>
      <c r="B19" s="28" t="s">
        <v>109</v>
      </c>
      <c r="C19" s="29" t="s">
        <v>214</v>
      </c>
      <c r="D19" s="29" t="s">
        <v>215</v>
      </c>
      <c r="E19" s="34" t="s">
        <v>178</v>
      </c>
      <c r="F19" s="29" t="s">
        <v>141</v>
      </c>
      <c r="G19" s="29" t="s">
        <v>216</v>
      </c>
      <c r="H19" s="29" t="s">
        <v>217</v>
      </c>
      <c r="I19" s="34" t="s">
        <v>182</v>
      </c>
    </row>
    <row r="20" customFormat="false" ht="64.5" hidden="false" customHeight="true" outlineLevel="0" collapsed="false">
      <c r="A20" s="28" t="s">
        <v>218</v>
      </c>
      <c r="B20" s="28" t="s">
        <v>109</v>
      </c>
      <c r="C20" s="29" t="s">
        <v>219</v>
      </c>
      <c r="D20" s="29" t="s">
        <v>220</v>
      </c>
      <c r="E20" s="32" t="s">
        <v>148</v>
      </c>
      <c r="F20" s="29" t="s">
        <v>155</v>
      </c>
      <c r="G20" s="29" t="s">
        <v>221</v>
      </c>
      <c r="H20" s="29" t="s">
        <v>222</v>
      </c>
      <c r="I20" s="31" t="s">
        <v>144</v>
      </c>
    </row>
    <row r="21" customFormat="false" ht="64.5" hidden="false" customHeight="true" outlineLevel="0" collapsed="false">
      <c r="A21" s="28" t="s">
        <v>223</v>
      </c>
      <c r="B21" s="28" t="s">
        <v>113</v>
      </c>
      <c r="C21" s="29" t="s">
        <v>224</v>
      </c>
      <c r="D21" s="29" t="s">
        <v>225</v>
      </c>
      <c r="E21" s="33" t="s">
        <v>172</v>
      </c>
      <c r="F21" s="29" t="s">
        <v>155</v>
      </c>
      <c r="G21" s="29" t="s">
        <v>226</v>
      </c>
      <c r="H21" s="29" t="s">
        <v>227</v>
      </c>
      <c r="I21" s="32" t="s">
        <v>151</v>
      </c>
    </row>
    <row r="22" customFormat="false" ht="64.5" hidden="false" customHeight="true" outlineLevel="0" collapsed="false">
      <c r="A22" s="28" t="s">
        <v>228</v>
      </c>
      <c r="B22" s="28" t="s">
        <v>117</v>
      </c>
      <c r="C22" s="29" t="s">
        <v>229</v>
      </c>
      <c r="D22" s="29" t="s">
        <v>230</v>
      </c>
      <c r="E22" s="30" t="s">
        <v>140</v>
      </c>
      <c r="F22" s="29" t="s">
        <v>231</v>
      </c>
      <c r="G22" s="29" t="s">
        <v>232</v>
      </c>
      <c r="H22" s="29" t="s">
        <v>233</v>
      </c>
      <c r="I22" s="30" t="s">
        <v>234</v>
      </c>
    </row>
    <row r="23" customFormat="false" ht="64.5" hidden="false" customHeight="true" outlineLevel="0" collapsed="false">
      <c r="A23" s="28" t="s">
        <v>235</v>
      </c>
      <c r="B23" s="28" t="s">
        <v>117</v>
      </c>
      <c r="C23" s="29" t="s">
        <v>236</v>
      </c>
      <c r="D23" s="29" t="s">
        <v>237</v>
      </c>
      <c r="E23" s="32" t="s">
        <v>148</v>
      </c>
      <c r="F23" s="29" t="s">
        <v>141</v>
      </c>
      <c r="G23" s="29" t="s">
        <v>238</v>
      </c>
      <c r="H23" s="29" t="s">
        <v>239</v>
      </c>
      <c r="I23" s="32" t="s">
        <v>151</v>
      </c>
    </row>
    <row r="24" customFormat="false" ht="64.5" hidden="false" customHeight="true" outlineLevel="0" collapsed="false">
      <c r="A24" s="28" t="s">
        <v>240</v>
      </c>
      <c r="B24" s="28" t="s">
        <v>121</v>
      </c>
      <c r="C24" s="29" t="s">
        <v>241</v>
      </c>
      <c r="D24" s="29" t="s">
        <v>242</v>
      </c>
      <c r="E24" s="33" t="s">
        <v>172</v>
      </c>
      <c r="F24" s="29" t="s">
        <v>179</v>
      </c>
      <c r="G24" s="29" t="s">
        <v>243</v>
      </c>
      <c r="H24" s="29" t="s">
        <v>244</v>
      </c>
      <c r="I24" s="32" t="s">
        <v>151</v>
      </c>
    </row>
    <row r="25" customFormat="false" ht="64.5" hidden="false" customHeight="true" outlineLevel="0" collapsed="false">
      <c r="A25" s="28" t="s">
        <v>245</v>
      </c>
      <c r="B25" s="28" t="s">
        <v>121</v>
      </c>
      <c r="C25" s="29" t="s">
        <v>246</v>
      </c>
      <c r="D25" s="29" t="s">
        <v>247</v>
      </c>
      <c r="E25" s="34" t="s">
        <v>178</v>
      </c>
      <c r="F25" s="29" t="s">
        <v>179</v>
      </c>
      <c r="G25" s="29" t="s">
        <v>248</v>
      </c>
      <c r="H25" s="29" t="s">
        <v>249</v>
      </c>
      <c r="I25" s="34" t="s">
        <v>182</v>
      </c>
    </row>
    <row r="26" customFormat="false" ht="64.5" hidden="false" customHeight="true" outlineLevel="0" collapsed="false"/>
    <row r="27" customFormat="false" ht="64.5" hidden="false" customHeight="true" outlineLevel="0" collapsed="false"/>
    <row r="28" customFormat="false" ht="64.5" hidden="false" customHeight="true" outlineLevel="0" collapsed="false">
      <c r="A28" s="26" t="s">
        <v>250</v>
      </c>
      <c r="B28" s="26"/>
      <c r="C28" s="26"/>
      <c r="D28" s="26"/>
      <c r="E28" s="26"/>
      <c r="F28" s="26"/>
      <c r="G28" s="26"/>
      <c r="H28" s="26"/>
      <c r="I28" s="26"/>
    </row>
    <row r="29" customFormat="false" ht="64.5" hidden="false" customHeight="true" outlineLevel="0" collapsed="false">
      <c r="A29" s="27" t="s">
        <v>130</v>
      </c>
      <c r="B29" s="27" t="s">
        <v>251</v>
      </c>
      <c r="C29" s="27" t="s">
        <v>252</v>
      </c>
      <c r="D29" s="27" t="s">
        <v>253</v>
      </c>
      <c r="E29" s="27" t="s">
        <v>254</v>
      </c>
      <c r="F29" s="27" t="s">
        <v>255</v>
      </c>
      <c r="G29" s="27" t="s">
        <v>256</v>
      </c>
      <c r="H29" s="27" t="s">
        <v>257</v>
      </c>
      <c r="I29" s="27" t="s">
        <v>9</v>
      </c>
    </row>
    <row r="30" customFormat="false" ht="64.5" hidden="false" customHeight="true" outlineLevel="0" collapsed="false">
      <c r="A30" s="28" t="s">
        <v>258</v>
      </c>
      <c r="B30" s="28" t="s">
        <v>259</v>
      </c>
      <c r="C30" s="29" t="s">
        <v>260</v>
      </c>
      <c r="D30" s="29" t="s">
        <v>261</v>
      </c>
      <c r="E30" s="30" t="s">
        <v>140</v>
      </c>
      <c r="F30" s="29" t="s">
        <v>262</v>
      </c>
      <c r="G30" s="29" t="s">
        <v>263</v>
      </c>
      <c r="H30" s="29" t="s">
        <v>264</v>
      </c>
      <c r="I30" s="31" t="s">
        <v>144</v>
      </c>
    </row>
    <row r="31" customFormat="false" ht="64.5" hidden="false" customHeight="true" outlineLevel="0" collapsed="false">
      <c r="A31" s="28" t="s">
        <v>265</v>
      </c>
      <c r="B31" s="28" t="s">
        <v>266</v>
      </c>
      <c r="C31" s="29" t="s">
        <v>267</v>
      </c>
      <c r="D31" s="29" t="s">
        <v>268</v>
      </c>
      <c r="E31" s="30" t="s">
        <v>140</v>
      </c>
      <c r="F31" s="29" t="s">
        <v>269</v>
      </c>
      <c r="G31" s="29" t="s">
        <v>263</v>
      </c>
      <c r="H31" s="29" t="s">
        <v>270</v>
      </c>
      <c r="I31" s="30" t="s">
        <v>234</v>
      </c>
    </row>
    <row r="32" customFormat="false" ht="64.5" hidden="false" customHeight="true" outlineLevel="0" collapsed="false">
      <c r="A32" s="28" t="s">
        <v>271</v>
      </c>
      <c r="B32" s="28" t="s">
        <v>272</v>
      </c>
      <c r="C32" s="29" t="s">
        <v>273</v>
      </c>
      <c r="D32" s="29" t="s">
        <v>274</v>
      </c>
      <c r="E32" s="30" t="s">
        <v>140</v>
      </c>
      <c r="F32" s="29" t="s">
        <v>275</v>
      </c>
      <c r="G32" s="29" t="s">
        <v>263</v>
      </c>
      <c r="H32" s="29" t="s">
        <v>276</v>
      </c>
      <c r="I32" s="31" t="s">
        <v>144</v>
      </c>
    </row>
    <row r="33" customFormat="false" ht="64.5" hidden="false" customHeight="true" outlineLevel="0" collapsed="false">
      <c r="A33" s="28" t="s">
        <v>277</v>
      </c>
      <c r="B33" s="28" t="s">
        <v>278</v>
      </c>
      <c r="C33" s="29" t="s">
        <v>279</v>
      </c>
      <c r="D33" s="29" t="s">
        <v>280</v>
      </c>
      <c r="E33" s="32" t="s">
        <v>148</v>
      </c>
      <c r="F33" s="29" t="s">
        <v>281</v>
      </c>
      <c r="G33" s="29" t="s">
        <v>282</v>
      </c>
      <c r="H33" s="29" t="s">
        <v>283</v>
      </c>
      <c r="I33" s="32" t="s">
        <v>151</v>
      </c>
    </row>
    <row r="34" customFormat="false" ht="64.5" hidden="false" customHeight="true" outlineLevel="0" collapsed="false">
      <c r="A34" s="28" t="s">
        <v>284</v>
      </c>
      <c r="B34" s="28" t="s">
        <v>285</v>
      </c>
      <c r="C34" s="29" t="s">
        <v>286</v>
      </c>
      <c r="D34" s="29" t="s">
        <v>287</v>
      </c>
      <c r="E34" s="30" t="s">
        <v>140</v>
      </c>
      <c r="F34" s="29" t="s">
        <v>288</v>
      </c>
      <c r="G34" s="29" t="s">
        <v>289</v>
      </c>
      <c r="H34" s="29" t="s">
        <v>290</v>
      </c>
      <c r="I34" s="32" t="s">
        <v>151</v>
      </c>
    </row>
    <row r="35" customFormat="false" ht="64.5" hidden="false" customHeight="true" outlineLevel="0" collapsed="false">
      <c r="A35" s="28" t="s">
        <v>291</v>
      </c>
      <c r="B35" s="28" t="s">
        <v>292</v>
      </c>
      <c r="C35" s="29" t="s">
        <v>293</v>
      </c>
      <c r="D35" s="29" t="s">
        <v>294</v>
      </c>
      <c r="E35" s="32" t="s">
        <v>148</v>
      </c>
      <c r="F35" s="29" t="s">
        <v>295</v>
      </c>
      <c r="G35" s="29" t="s">
        <v>263</v>
      </c>
      <c r="H35" s="29" t="s">
        <v>296</v>
      </c>
      <c r="I35" s="32" t="s">
        <v>151</v>
      </c>
    </row>
    <row r="36" customFormat="false" ht="64.5" hidden="false" customHeight="true" outlineLevel="0" collapsed="false">
      <c r="A36" s="28" t="s">
        <v>297</v>
      </c>
      <c r="B36" s="28" t="s">
        <v>298</v>
      </c>
      <c r="C36" s="29" t="s">
        <v>299</v>
      </c>
      <c r="D36" s="29" t="s">
        <v>300</v>
      </c>
      <c r="E36" s="32" t="s">
        <v>148</v>
      </c>
      <c r="F36" s="29" t="s">
        <v>301</v>
      </c>
      <c r="G36" s="29" t="s">
        <v>263</v>
      </c>
      <c r="H36" s="29" t="s">
        <v>302</v>
      </c>
      <c r="I36" s="32" t="s">
        <v>151</v>
      </c>
    </row>
    <row r="37" customFormat="false" ht="64.5" hidden="false" customHeight="true" outlineLevel="0" collapsed="false">
      <c r="A37" s="28" t="s">
        <v>303</v>
      </c>
      <c r="B37" s="28" t="s">
        <v>304</v>
      </c>
      <c r="C37" s="29" t="s">
        <v>305</v>
      </c>
      <c r="D37" s="29" t="s">
        <v>287</v>
      </c>
      <c r="E37" s="30" t="s">
        <v>140</v>
      </c>
      <c r="F37" s="29" t="s">
        <v>306</v>
      </c>
      <c r="G37" s="29" t="s">
        <v>307</v>
      </c>
      <c r="H37" s="29" t="s">
        <v>308</v>
      </c>
      <c r="I37" s="33" t="s">
        <v>182</v>
      </c>
    </row>
    <row r="38" customFormat="false" ht="64.5" hidden="false" customHeight="true" outlineLevel="0" collapsed="false">
      <c r="A38" s="28" t="s">
        <v>309</v>
      </c>
      <c r="B38" s="28" t="s">
        <v>310</v>
      </c>
      <c r="C38" s="29" t="s">
        <v>311</v>
      </c>
      <c r="D38" s="29" t="s">
        <v>312</v>
      </c>
      <c r="E38" s="32" t="s">
        <v>148</v>
      </c>
      <c r="F38" s="29" t="s">
        <v>313</v>
      </c>
      <c r="G38" s="29" t="s">
        <v>314</v>
      </c>
      <c r="H38" s="29" t="s">
        <v>315</v>
      </c>
      <c r="I38" s="32" t="s">
        <v>151</v>
      </c>
    </row>
    <row r="39" customFormat="false" ht="64.5" hidden="false" customHeight="true" outlineLevel="0" collapsed="false">
      <c r="A39" s="28" t="s">
        <v>316</v>
      </c>
      <c r="B39" s="28" t="s">
        <v>317</v>
      </c>
      <c r="C39" s="29" t="s">
        <v>318</v>
      </c>
      <c r="D39" s="29" t="s">
        <v>319</v>
      </c>
      <c r="E39" s="33" t="s">
        <v>172</v>
      </c>
      <c r="F39" s="29" t="s">
        <v>320</v>
      </c>
      <c r="G39" s="29" t="s">
        <v>263</v>
      </c>
      <c r="H39" s="29" t="s">
        <v>321</v>
      </c>
      <c r="I39" s="34" t="s">
        <v>322</v>
      </c>
    </row>
    <row r="40" customFormat="false" ht="64.5" hidden="false" customHeight="true" outlineLevel="0" collapsed="false"/>
    <row r="41" customFormat="false" ht="64.5" hidden="false" customHeight="true" outlineLevel="0" collapsed="false"/>
    <row r="42" customFormat="false" ht="64.5" hidden="false" customHeight="true" outlineLevel="0" collapsed="false">
      <c r="A42" s="26" t="s">
        <v>323</v>
      </c>
      <c r="B42" s="26"/>
      <c r="C42" s="26"/>
      <c r="D42" s="26"/>
      <c r="E42" s="26"/>
      <c r="F42" s="26"/>
      <c r="G42" s="26"/>
      <c r="H42" s="26"/>
      <c r="I42" s="26"/>
    </row>
    <row r="43" customFormat="false" ht="64.5" hidden="false" customHeight="true" outlineLevel="0" collapsed="false">
      <c r="A43" s="27" t="s">
        <v>130</v>
      </c>
      <c r="B43" s="27" t="s">
        <v>324</v>
      </c>
      <c r="C43" s="27" t="s">
        <v>325</v>
      </c>
      <c r="D43" s="27" t="s">
        <v>326</v>
      </c>
      <c r="E43" s="27" t="s">
        <v>327</v>
      </c>
      <c r="F43" s="27" t="s">
        <v>134</v>
      </c>
      <c r="G43" s="27" t="s">
        <v>328</v>
      </c>
      <c r="H43" s="27" t="s">
        <v>329</v>
      </c>
      <c r="I43" s="27" t="s">
        <v>9</v>
      </c>
    </row>
    <row r="44" customFormat="false" ht="64.5" hidden="false" customHeight="true" outlineLevel="0" collapsed="false">
      <c r="A44" s="28" t="s">
        <v>330</v>
      </c>
      <c r="B44" s="28" t="s">
        <v>331</v>
      </c>
      <c r="C44" s="29" t="s">
        <v>332</v>
      </c>
      <c r="D44" s="29" t="s">
        <v>333</v>
      </c>
      <c r="E44" s="30" t="s">
        <v>140</v>
      </c>
      <c r="F44" s="29" t="s">
        <v>231</v>
      </c>
      <c r="G44" s="29" t="s">
        <v>334</v>
      </c>
      <c r="H44" s="29" t="s">
        <v>335</v>
      </c>
      <c r="I44" s="31" t="s">
        <v>144</v>
      </c>
    </row>
    <row r="45" customFormat="false" ht="64.5" hidden="false" customHeight="true" outlineLevel="0" collapsed="false">
      <c r="A45" s="28" t="s">
        <v>336</v>
      </c>
      <c r="B45" s="28" t="s">
        <v>337</v>
      </c>
      <c r="C45" s="29" t="s">
        <v>338</v>
      </c>
      <c r="D45" s="29" t="s">
        <v>339</v>
      </c>
      <c r="E45" s="32" t="s">
        <v>148</v>
      </c>
      <c r="F45" s="29" t="s">
        <v>141</v>
      </c>
      <c r="G45" s="29" t="s">
        <v>340</v>
      </c>
      <c r="H45" s="29" t="s">
        <v>341</v>
      </c>
      <c r="I45" s="31" t="s">
        <v>144</v>
      </c>
    </row>
    <row r="46" customFormat="false" ht="64.5" hidden="false" customHeight="true" outlineLevel="0" collapsed="false">
      <c r="A46" s="28" t="s">
        <v>342</v>
      </c>
      <c r="B46" s="28" t="s">
        <v>337</v>
      </c>
      <c r="C46" s="29" t="s">
        <v>343</v>
      </c>
      <c r="D46" s="29" t="s">
        <v>344</v>
      </c>
      <c r="E46" s="33" t="s">
        <v>172</v>
      </c>
      <c r="F46" s="29" t="s">
        <v>179</v>
      </c>
      <c r="G46" s="29" t="s">
        <v>345</v>
      </c>
      <c r="H46" s="29" t="s">
        <v>346</v>
      </c>
      <c r="I46" s="33" t="s">
        <v>182</v>
      </c>
    </row>
    <row r="47" customFormat="false" ht="64.5" hidden="false" customHeight="true" outlineLevel="0" collapsed="false">
      <c r="A47" s="28" t="s">
        <v>347</v>
      </c>
      <c r="B47" s="28" t="s">
        <v>337</v>
      </c>
      <c r="C47" s="29" t="s">
        <v>348</v>
      </c>
      <c r="D47" s="29" t="s">
        <v>349</v>
      </c>
      <c r="E47" s="33" t="s">
        <v>172</v>
      </c>
      <c r="F47" s="29" t="s">
        <v>350</v>
      </c>
      <c r="G47" s="29" t="s">
        <v>351</v>
      </c>
      <c r="H47" s="29" t="s">
        <v>352</v>
      </c>
      <c r="I47" s="34" t="s">
        <v>353</v>
      </c>
    </row>
    <row r="48" customFormat="false" ht="64.5" hidden="false" customHeight="true" outlineLevel="0" collapsed="false">
      <c r="A48" s="28" t="s">
        <v>354</v>
      </c>
      <c r="B48" s="28" t="s">
        <v>355</v>
      </c>
      <c r="C48" s="29" t="s">
        <v>356</v>
      </c>
      <c r="D48" s="29" t="s">
        <v>357</v>
      </c>
      <c r="E48" s="33" t="s">
        <v>172</v>
      </c>
      <c r="F48" s="29" t="s">
        <v>350</v>
      </c>
      <c r="G48" s="29" t="s">
        <v>358</v>
      </c>
      <c r="H48" s="29" t="s">
        <v>359</v>
      </c>
      <c r="I48" s="34" t="s">
        <v>353</v>
      </c>
    </row>
    <row r="49" customFormat="false" ht="64.5" hidden="false" customHeight="true" outlineLevel="0" collapsed="false">
      <c r="A49" s="28" t="s">
        <v>360</v>
      </c>
      <c r="B49" s="28" t="s">
        <v>355</v>
      </c>
      <c r="C49" s="29" t="s">
        <v>361</v>
      </c>
      <c r="D49" s="29" t="s">
        <v>362</v>
      </c>
      <c r="E49" s="34" t="s">
        <v>178</v>
      </c>
      <c r="F49" s="29" t="s">
        <v>350</v>
      </c>
      <c r="G49" s="29" t="s">
        <v>363</v>
      </c>
      <c r="H49" s="29" t="s">
        <v>364</v>
      </c>
      <c r="I49" s="34" t="s">
        <v>353</v>
      </c>
    </row>
    <row r="50" customFormat="false" ht="64.5" hidden="false" customHeight="true" outlineLevel="0" collapsed="false">
      <c r="A50" s="28" t="s">
        <v>365</v>
      </c>
      <c r="B50" s="28" t="s">
        <v>366</v>
      </c>
      <c r="C50" s="29" t="s">
        <v>367</v>
      </c>
      <c r="D50" s="29" t="s">
        <v>368</v>
      </c>
      <c r="E50" s="34" t="s">
        <v>178</v>
      </c>
      <c r="F50" s="29" t="s">
        <v>179</v>
      </c>
      <c r="G50" s="29" t="s">
        <v>369</v>
      </c>
      <c r="H50" s="29" t="s">
        <v>370</v>
      </c>
      <c r="I50" s="33" t="s">
        <v>182</v>
      </c>
    </row>
    <row r="51" customFormat="false" ht="64.5" hidden="false" customHeight="true" outlineLevel="0" collapsed="false">
      <c r="A51" s="28" t="s">
        <v>371</v>
      </c>
      <c r="B51" s="28" t="s">
        <v>366</v>
      </c>
      <c r="C51" s="29" t="s">
        <v>372</v>
      </c>
      <c r="D51" s="29" t="s">
        <v>373</v>
      </c>
      <c r="E51" s="33" t="s">
        <v>172</v>
      </c>
      <c r="F51" s="29" t="s">
        <v>141</v>
      </c>
      <c r="G51" s="29" t="s">
        <v>374</v>
      </c>
      <c r="H51" s="29" t="s">
        <v>375</v>
      </c>
      <c r="I51" s="32" t="s">
        <v>151</v>
      </c>
    </row>
    <row r="52" customFormat="false" ht="64.5" hidden="false" customHeight="true" outlineLevel="0" collapsed="false">
      <c r="A52" s="28" t="s">
        <v>376</v>
      </c>
      <c r="B52" s="28" t="s">
        <v>377</v>
      </c>
      <c r="C52" s="29" t="s">
        <v>378</v>
      </c>
      <c r="D52" s="29" t="s">
        <v>379</v>
      </c>
      <c r="E52" s="34" t="s">
        <v>178</v>
      </c>
      <c r="F52" s="29" t="s">
        <v>380</v>
      </c>
      <c r="G52" s="29" t="s">
        <v>381</v>
      </c>
      <c r="H52" s="29" t="s">
        <v>382</v>
      </c>
      <c r="I52" s="34" t="s">
        <v>383</v>
      </c>
    </row>
    <row r="53" customFormat="false" ht="64.5" hidden="false" customHeight="true" outlineLevel="0" collapsed="false">
      <c r="A53" s="28" t="s">
        <v>384</v>
      </c>
      <c r="B53" s="28" t="s">
        <v>385</v>
      </c>
      <c r="C53" s="29" t="s">
        <v>386</v>
      </c>
      <c r="D53" s="29" t="s">
        <v>387</v>
      </c>
      <c r="E53" s="33" t="s">
        <v>172</v>
      </c>
      <c r="F53" s="29" t="s">
        <v>141</v>
      </c>
      <c r="G53" s="29" t="s">
        <v>388</v>
      </c>
      <c r="H53" s="29" t="s">
        <v>389</v>
      </c>
      <c r="I53" s="32" t="s">
        <v>151</v>
      </c>
    </row>
    <row r="54" customFormat="false" ht="64.5" hidden="false" customHeight="true" outlineLevel="0" collapsed="false">
      <c r="A54" s="28" t="s">
        <v>390</v>
      </c>
      <c r="B54" s="28" t="s">
        <v>391</v>
      </c>
      <c r="C54" s="29" t="s">
        <v>392</v>
      </c>
      <c r="D54" s="29" t="s">
        <v>393</v>
      </c>
      <c r="E54" s="32" t="s">
        <v>148</v>
      </c>
      <c r="F54" s="29" t="s">
        <v>141</v>
      </c>
      <c r="G54" s="29" t="s">
        <v>394</v>
      </c>
      <c r="H54" s="29" t="s">
        <v>395</v>
      </c>
      <c r="I54" s="31" t="s">
        <v>144</v>
      </c>
    </row>
    <row r="55" customFormat="false" ht="64.5" hidden="false" customHeight="true" outlineLevel="0" collapsed="false">
      <c r="A55" s="28" t="s">
        <v>396</v>
      </c>
      <c r="B55" s="28" t="s">
        <v>355</v>
      </c>
      <c r="C55" s="29" t="s">
        <v>397</v>
      </c>
      <c r="D55" s="29" t="s">
        <v>398</v>
      </c>
      <c r="E55" s="32" t="s">
        <v>148</v>
      </c>
      <c r="F55" s="29" t="s">
        <v>141</v>
      </c>
      <c r="G55" s="29" t="s">
        <v>399</v>
      </c>
      <c r="H55" s="29" t="s">
        <v>400</v>
      </c>
      <c r="I55" s="33" t="s">
        <v>401</v>
      </c>
    </row>
    <row r="56" customFormat="false" ht="64.5" hidden="false" customHeight="true" outlineLevel="0" collapsed="false">
      <c r="A56" s="28" t="s">
        <v>402</v>
      </c>
      <c r="B56" s="28" t="s">
        <v>331</v>
      </c>
      <c r="C56" s="29" t="s">
        <v>403</v>
      </c>
      <c r="D56" s="29" t="s">
        <v>404</v>
      </c>
      <c r="E56" s="33" t="s">
        <v>172</v>
      </c>
      <c r="F56" s="29" t="s">
        <v>141</v>
      </c>
      <c r="G56" s="29" t="s">
        <v>405</v>
      </c>
      <c r="H56" s="29" t="s">
        <v>406</v>
      </c>
      <c r="I56" s="33" t="s">
        <v>401</v>
      </c>
    </row>
    <row r="57" customFormat="false" ht="64.5" hidden="false" customHeight="true" outlineLevel="0" collapsed="false">
      <c r="A57" s="28" t="s">
        <v>407</v>
      </c>
      <c r="B57" s="28" t="s">
        <v>366</v>
      </c>
      <c r="C57" s="29" t="s">
        <v>408</v>
      </c>
      <c r="D57" s="29" t="s">
        <v>409</v>
      </c>
      <c r="E57" s="34" t="s">
        <v>178</v>
      </c>
      <c r="F57" s="29" t="s">
        <v>179</v>
      </c>
      <c r="G57" s="29" t="s">
        <v>410</v>
      </c>
      <c r="H57" s="29" t="s">
        <v>411</v>
      </c>
      <c r="I57" s="33" t="s">
        <v>182</v>
      </c>
    </row>
    <row r="58" customFormat="false" ht="64.5" hidden="false" customHeight="true" outlineLevel="0" collapsed="false">
      <c r="A58" s="28" t="s">
        <v>412</v>
      </c>
      <c r="B58" s="28" t="s">
        <v>337</v>
      </c>
      <c r="C58" s="29" t="s">
        <v>413</v>
      </c>
      <c r="D58" s="29" t="s">
        <v>414</v>
      </c>
      <c r="E58" s="32" t="s">
        <v>148</v>
      </c>
      <c r="F58" s="29" t="s">
        <v>141</v>
      </c>
      <c r="G58" s="29" t="s">
        <v>415</v>
      </c>
      <c r="H58" s="29" t="s">
        <v>416</v>
      </c>
      <c r="I58" s="31" t="s">
        <v>144</v>
      </c>
    </row>
    <row r="59" customFormat="false" ht="64.5" hidden="false" customHeight="true" outlineLevel="0" collapsed="false"/>
    <row r="60" customFormat="false" ht="64.5" hidden="false" customHeight="true" outlineLevel="0" collapsed="false"/>
    <row r="61" customFormat="false" ht="64.5" hidden="false" customHeight="true" outlineLevel="0" collapsed="false">
      <c r="A61" s="26" t="s">
        <v>417</v>
      </c>
      <c r="B61" s="26"/>
      <c r="C61" s="26"/>
      <c r="D61" s="26"/>
      <c r="E61" s="26"/>
      <c r="F61" s="26"/>
      <c r="G61" s="26"/>
      <c r="H61" s="26"/>
      <c r="I61" s="26"/>
    </row>
    <row r="62" customFormat="false" ht="64.5" hidden="false" customHeight="true" outlineLevel="0" collapsed="false">
      <c r="A62" s="27" t="s">
        <v>324</v>
      </c>
      <c r="B62" s="27" t="s">
        <v>418</v>
      </c>
      <c r="C62" s="27" t="s">
        <v>419</v>
      </c>
    </row>
    <row r="63" customFormat="false" ht="64.5" hidden="false" customHeight="true" outlineLevel="0" collapsed="false">
      <c r="A63" s="35" t="s">
        <v>420</v>
      </c>
      <c r="B63" s="36" t="s">
        <v>421</v>
      </c>
      <c r="C63" s="29" t="s">
        <v>422</v>
      </c>
    </row>
    <row r="64" customFormat="false" ht="64.5" hidden="false" customHeight="true" outlineLevel="0" collapsed="false">
      <c r="A64" s="32" t="s">
        <v>423</v>
      </c>
      <c r="B64" s="37" t="s">
        <v>424</v>
      </c>
      <c r="C64" s="29" t="s">
        <v>425</v>
      </c>
    </row>
    <row r="65" customFormat="false" ht="64.5" hidden="false" customHeight="true" outlineLevel="0" collapsed="false">
      <c r="A65" s="33" t="s">
        <v>426</v>
      </c>
      <c r="B65" s="38" t="s">
        <v>427</v>
      </c>
      <c r="C65" s="29" t="s">
        <v>428</v>
      </c>
    </row>
    <row r="66" customFormat="false" ht="64.5" hidden="false" customHeight="true" outlineLevel="0" collapsed="false">
      <c r="A66" s="34" t="s">
        <v>429</v>
      </c>
      <c r="B66" s="39" t="s">
        <v>427</v>
      </c>
      <c r="C66" s="29" t="s">
        <v>430</v>
      </c>
    </row>
    <row r="67" customFormat="false" ht="64.5" hidden="false" customHeight="true" outlineLevel="0" collapsed="false">
      <c r="A67" s="34" t="s">
        <v>322</v>
      </c>
      <c r="B67" s="39" t="s">
        <v>431</v>
      </c>
      <c r="C67" s="29" t="s">
        <v>432</v>
      </c>
    </row>
    <row r="68" customFormat="false" ht="64.5" hidden="false" customHeight="true" outlineLevel="0" collapsed="false">
      <c r="A68" s="30" t="s">
        <v>433</v>
      </c>
      <c r="B68" s="40" t="s">
        <v>434</v>
      </c>
      <c r="C68" s="29" t="s">
        <v>435</v>
      </c>
    </row>
    <row r="69" customFormat="false" ht="64.5" hidden="false" customHeight="true" outlineLevel="0" collapsed="false"/>
    <row r="70" customFormat="false" ht="64.5" hidden="false" customHeight="true" outlineLevel="0" collapsed="false"/>
    <row r="71" customFormat="false" ht="64.5" hidden="false" customHeight="true" outlineLevel="0" collapsed="false">
      <c r="A71" s="41" t="s">
        <v>436</v>
      </c>
      <c r="B71" s="41"/>
      <c r="C71" s="41"/>
      <c r="D71" s="41"/>
      <c r="E71" s="41"/>
      <c r="F71" s="41"/>
      <c r="G71" s="41"/>
      <c r="H71" s="41"/>
      <c r="I71" s="41"/>
    </row>
    <row r="72" customFormat="false" ht="64.5" hidden="false" customHeight="true" outlineLevel="0" collapsed="false">
      <c r="A72" s="42" t="s">
        <v>130</v>
      </c>
      <c r="B72" s="42" t="s">
        <v>437</v>
      </c>
      <c r="C72" s="42" t="s">
        <v>438</v>
      </c>
      <c r="D72" s="42" t="s">
        <v>439</v>
      </c>
      <c r="E72" s="42" t="s">
        <v>440</v>
      </c>
      <c r="F72" s="42" t="s">
        <v>441</v>
      </c>
      <c r="G72" s="42" t="s">
        <v>442</v>
      </c>
      <c r="H72" s="42" t="s">
        <v>443</v>
      </c>
      <c r="I72" s="42" t="s">
        <v>9</v>
      </c>
    </row>
    <row r="73" customFormat="false" ht="64.5" hidden="false" customHeight="true" outlineLevel="0" collapsed="false">
      <c r="A73" s="28" t="s">
        <v>444</v>
      </c>
      <c r="B73" s="30" t="s">
        <v>445</v>
      </c>
      <c r="C73" s="29" t="s">
        <v>446</v>
      </c>
      <c r="D73" s="28" t="s">
        <v>447</v>
      </c>
      <c r="E73" s="29" t="s">
        <v>448</v>
      </c>
      <c r="F73" s="29" t="s">
        <v>314</v>
      </c>
      <c r="G73" s="29" t="s">
        <v>449</v>
      </c>
      <c r="H73" s="29" t="s">
        <v>450</v>
      </c>
      <c r="I73" s="31" t="s">
        <v>144</v>
      </c>
    </row>
    <row r="74" customFormat="false" ht="64.5" hidden="false" customHeight="true" outlineLevel="0" collapsed="false">
      <c r="A74" s="28" t="s">
        <v>451</v>
      </c>
      <c r="B74" s="30" t="s">
        <v>452</v>
      </c>
      <c r="C74" s="29" t="s">
        <v>453</v>
      </c>
      <c r="D74" s="28" t="s">
        <v>454</v>
      </c>
      <c r="E74" s="29" t="s">
        <v>455</v>
      </c>
      <c r="F74" s="29" t="s">
        <v>456</v>
      </c>
      <c r="G74" s="29" t="s">
        <v>457</v>
      </c>
      <c r="H74" s="29" t="s">
        <v>458</v>
      </c>
      <c r="I74" s="31" t="s">
        <v>144</v>
      </c>
    </row>
    <row r="75" customFormat="false" ht="64.5" hidden="false" customHeight="true" outlineLevel="0" collapsed="false">
      <c r="A75" s="28" t="s">
        <v>459</v>
      </c>
      <c r="B75" s="30" t="s">
        <v>460</v>
      </c>
      <c r="C75" s="29" t="s">
        <v>461</v>
      </c>
      <c r="D75" s="28" t="s">
        <v>462</v>
      </c>
      <c r="E75" s="29" t="s">
        <v>463</v>
      </c>
      <c r="F75" s="29" t="s">
        <v>456</v>
      </c>
      <c r="G75" s="29" t="s">
        <v>464</v>
      </c>
      <c r="H75" s="29" t="s">
        <v>465</v>
      </c>
      <c r="I75" s="31" t="s">
        <v>144</v>
      </c>
    </row>
    <row r="76" customFormat="false" ht="64.5" hidden="false" customHeight="true" outlineLevel="0" collapsed="false">
      <c r="A76" s="28" t="s">
        <v>466</v>
      </c>
      <c r="B76" s="30" t="s">
        <v>467</v>
      </c>
      <c r="C76" s="29" t="s">
        <v>468</v>
      </c>
      <c r="D76" s="28" t="s">
        <v>469</v>
      </c>
      <c r="E76" s="29" t="s">
        <v>470</v>
      </c>
      <c r="F76" s="29" t="s">
        <v>471</v>
      </c>
      <c r="G76" s="29" t="s">
        <v>472</v>
      </c>
      <c r="H76" s="29" t="s">
        <v>473</v>
      </c>
      <c r="I76" s="32" t="s">
        <v>401</v>
      </c>
    </row>
    <row r="77" customFormat="false" ht="64.5" hidden="false" customHeight="true" outlineLevel="0" collapsed="false">
      <c r="A77" s="28" t="s">
        <v>474</v>
      </c>
      <c r="B77" s="30" t="s">
        <v>475</v>
      </c>
      <c r="C77" s="29" t="s">
        <v>476</v>
      </c>
      <c r="D77" s="28" t="s">
        <v>477</v>
      </c>
      <c r="E77" s="29" t="s">
        <v>478</v>
      </c>
      <c r="F77" s="29" t="s">
        <v>479</v>
      </c>
      <c r="G77" s="29" t="s">
        <v>480</v>
      </c>
      <c r="H77" s="29" t="s">
        <v>481</v>
      </c>
      <c r="I77" s="32" t="s">
        <v>401</v>
      </c>
    </row>
  </sheetData>
  <mergeCells count="7">
    <mergeCell ref="A1:I1"/>
    <mergeCell ref="A2:I2"/>
    <mergeCell ref="A4:I4"/>
    <mergeCell ref="A28:I28"/>
    <mergeCell ref="A42:I42"/>
    <mergeCell ref="A61:I61"/>
    <mergeCell ref="A71:I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42"/>
    <col collapsed="false" customWidth="true" hidden="false" outlineLevel="0" max="5" min="5" style="1" width="5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45"/>
    <col collapsed="false" customWidth="true" hidden="false" outlineLevel="0" max="9" min="9" style="1" width="14"/>
  </cols>
  <sheetData>
    <row r="1" customFormat="false" ht="30" hidden="false" customHeight="true" outlineLevel="0" collapsed="false">
      <c r="A1" s="43" t="s">
        <v>482</v>
      </c>
      <c r="B1" s="43"/>
      <c r="C1" s="43"/>
      <c r="D1" s="43"/>
      <c r="E1" s="43"/>
      <c r="F1" s="43"/>
      <c r="G1" s="43"/>
      <c r="H1" s="43"/>
      <c r="I1" s="43"/>
    </row>
    <row r="2" customFormat="false" ht="15" hidden="false" customHeight="true" outlineLevel="0" collapsed="false">
      <c r="A2" s="25" t="s">
        <v>483</v>
      </c>
      <c r="B2" s="25"/>
      <c r="C2" s="25"/>
      <c r="D2" s="25"/>
      <c r="E2" s="25"/>
      <c r="F2" s="25"/>
      <c r="G2" s="25"/>
      <c r="H2" s="25"/>
      <c r="I2" s="25"/>
    </row>
    <row r="3" customFormat="false" ht="15" hidden="false" customHeight="true" outlineLevel="0" collapsed="false">
      <c r="A3" s="44" t="s">
        <v>484</v>
      </c>
      <c r="B3" s="44"/>
      <c r="C3" s="45" t="s">
        <v>485</v>
      </c>
      <c r="D3" s="45"/>
      <c r="E3" s="46" t="s">
        <v>486</v>
      </c>
      <c r="F3" s="46"/>
      <c r="G3" s="47" t="s">
        <v>487</v>
      </c>
      <c r="H3" s="47"/>
    </row>
    <row r="5" customFormat="false" ht="19.5" hidden="false" customHeight="true" outlineLevel="0" collapsed="false">
      <c r="A5" s="27" t="s">
        <v>488</v>
      </c>
      <c r="B5" s="27" t="s">
        <v>324</v>
      </c>
      <c r="C5" s="27" t="s">
        <v>79</v>
      </c>
      <c r="D5" s="27" t="s">
        <v>489</v>
      </c>
      <c r="E5" s="27" t="s">
        <v>490</v>
      </c>
      <c r="F5" s="27" t="s">
        <v>491</v>
      </c>
      <c r="G5" s="27" t="s">
        <v>492</v>
      </c>
      <c r="H5" s="27" t="s">
        <v>493</v>
      </c>
      <c r="I5" s="27" t="s">
        <v>9</v>
      </c>
    </row>
    <row r="6" customFormat="false" ht="54.75" hidden="false" customHeight="true" outlineLevel="0" collapsed="false">
      <c r="A6" s="28" t="s">
        <v>330</v>
      </c>
      <c r="B6" s="29" t="s">
        <v>331</v>
      </c>
      <c r="C6" s="29" t="s">
        <v>117</v>
      </c>
      <c r="D6" s="29" t="s">
        <v>332</v>
      </c>
      <c r="E6" s="29" t="s">
        <v>494</v>
      </c>
      <c r="F6" s="30" t="s">
        <v>140</v>
      </c>
      <c r="G6" s="29" t="s">
        <v>495</v>
      </c>
      <c r="H6" s="29" t="s">
        <v>496</v>
      </c>
      <c r="I6" s="31" t="s">
        <v>144</v>
      </c>
    </row>
    <row r="7" customFormat="false" ht="54.75" hidden="false" customHeight="true" outlineLevel="0" collapsed="false">
      <c r="A7" s="28" t="s">
        <v>412</v>
      </c>
      <c r="B7" s="29" t="s">
        <v>337</v>
      </c>
      <c r="C7" s="29" t="s">
        <v>497</v>
      </c>
      <c r="D7" s="29" t="s">
        <v>498</v>
      </c>
      <c r="E7" s="29" t="s">
        <v>499</v>
      </c>
      <c r="F7" s="30" t="s">
        <v>140</v>
      </c>
      <c r="G7" s="29" t="s">
        <v>495</v>
      </c>
      <c r="H7" s="29" t="s">
        <v>500</v>
      </c>
      <c r="I7" s="31" t="s">
        <v>144</v>
      </c>
    </row>
    <row r="8" customFormat="false" ht="54.75" hidden="false" customHeight="true" outlineLevel="0" collapsed="false">
      <c r="A8" s="28" t="s">
        <v>258</v>
      </c>
      <c r="B8" s="29" t="s">
        <v>252</v>
      </c>
      <c r="C8" s="29" t="s">
        <v>501</v>
      </c>
      <c r="D8" s="29" t="s">
        <v>502</v>
      </c>
      <c r="E8" s="29" t="s">
        <v>503</v>
      </c>
      <c r="F8" s="30" t="s">
        <v>140</v>
      </c>
      <c r="G8" s="29" t="s">
        <v>495</v>
      </c>
      <c r="H8" s="29" t="s">
        <v>504</v>
      </c>
      <c r="I8" s="31" t="s">
        <v>144</v>
      </c>
    </row>
    <row r="9" customFormat="false" ht="54.75" hidden="false" customHeight="true" outlineLevel="0" collapsed="false">
      <c r="A9" s="28" t="s">
        <v>164</v>
      </c>
      <c r="B9" s="29" t="s">
        <v>355</v>
      </c>
      <c r="C9" s="29" t="s">
        <v>98</v>
      </c>
      <c r="D9" s="29" t="s">
        <v>505</v>
      </c>
      <c r="E9" s="29" t="s">
        <v>506</v>
      </c>
      <c r="F9" s="30" t="s">
        <v>140</v>
      </c>
      <c r="G9" s="29" t="s">
        <v>507</v>
      </c>
      <c r="H9" s="29" t="s">
        <v>508</v>
      </c>
      <c r="I9" s="31" t="s">
        <v>144</v>
      </c>
    </row>
    <row r="10" customFormat="false" ht="54.75" hidden="false" customHeight="true" outlineLevel="0" collapsed="false">
      <c r="A10" s="28" t="s">
        <v>218</v>
      </c>
      <c r="B10" s="29" t="s">
        <v>337</v>
      </c>
      <c r="C10" s="29" t="s">
        <v>109</v>
      </c>
      <c r="D10" s="29" t="s">
        <v>509</v>
      </c>
      <c r="E10" s="29" t="s">
        <v>510</v>
      </c>
      <c r="F10" s="30" t="s">
        <v>140</v>
      </c>
      <c r="G10" s="29" t="s">
        <v>511</v>
      </c>
      <c r="H10" s="29" t="s">
        <v>512</v>
      </c>
      <c r="I10" s="31" t="s">
        <v>144</v>
      </c>
    </row>
    <row r="11" customFormat="false" ht="54.75" hidden="false" customHeight="true" outlineLevel="0" collapsed="false">
      <c r="A11" s="28" t="s">
        <v>137</v>
      </c>
      <c r="B11" s="29" t="s">
        <v>513</v>
      </c>
      <c r="C11" s="29" t="s">
        <v>91</v>
      </c>
      <c r="D11" s="29" t="s">
        <v>514</v>
      </c>
      <c r="E11" s="29" t="s">
        <v>515</v>
      </c>
      <c r="F11" s="32" t="s">
        <v>148</v>
      </c>
      <c r="G11" s="29" t="s">
        <v>516</v>
      </c>
      <c r="H11" s="29" t="s">
        <v>517</v>
      </c>
      <c r="I11" s="31" t="s">
        <v>144</v>
      </c>
    </row>
    <row r="12" customFormat="false" ht="54.75" hidden="false" customHeight="true" outlineLevel="0" collapsed="false">
      <c r="A12" s="28" t="s">
        <v>145</v>
      </c>
      <c r="B12" s="29" t="s">
        <v>513</v>
      </c>
      <c r="C12" s="29" t="s">
        <v>91</v>
      </c>
      <c r="D12" s="29" t="s">
        <v>518</v>
      </c>
      <c r="E12" s="29" t="s">
        <v>519</v>
      </c>
      <c r="F12" s="32" t="s">
        <v>148</v>
      </c>
      <c r="G12" s="29" t="s">
        <v>516</v>
      </c>
      <c r="H12" s="29" t="s">
        <v>520</v>
      </c>
      <c r="I12" s="48" t="s">
        <v>521</v>
      </c>
    </row>
    <row r="13" customFormat="false" ht="54.75" hidden="false" customHeight="true" outlineLevel="0" collapsed="false">
      <c r="A13" s="28" t="s">
        <v>152</v>
      </c>
      <c r="B13" s="29" t="s">
        <v>513</v>
      </c>
      <c r="C13" s="29" t="s">
        <v>94</v>
      </c>
      <c r="D13" s="29" t="s">
        <v>522</v>
      </c>
      <c r="E13" s="29" t="s">
        <v>523</v>
      </c>
      <c r="F13" s="32" t="s">
        <v>148</v>
      </c>
      <c r="G13" s="29" t="s">
        <v>516</v>
      </c>
      <c r="H13" s="29" t="s">
        <v>524</v>
      </c>
      <c r="I13" s="31" t="s">
        <v>144</v>
      </c>
    </row>
    <row r="14" customFormat="false" ht="54.75" hidden="false" customHeight="true" outlineLevel="0" collapsed="false">
      <c r="A14" s="28" t="s">
        <v>158</v>
      </c>
      <c r="B14" s="29" t="s">
        <v>513</v>
      </c>
      <c r="C14" s="29" t="s">
        <v>94</v>
      </c>
      <c r="D14" s="29" t="s">
        <v>525</v>
      </c>
      <c r="E14" s="29" t="s">
        <v>526</v>
      </c>
      <c r="F14" s="32" t="s">
        <v>148</v>
      </c>
      <c r="G14" s="29" t="s">
        <v>527</v>
      </c>
      <c r="H14" s="29" t="s">
        <v>528</v>
      </c>
      <c r="I14" s="48" t="s">
        <v>521</v>
      </c>
    </row>
    <row r="15" customFormat="false" ht="54.75" hidden="false" customHeight="true" outlineLevel="0" collapsed="false">
      <c r="A15" s="28" t="s">
        <v>193</v>
      </c>
      <c r="B15" s="29" t="s">
        <v>529</v>
      </c>
      <c r="C15" s="29" t="s">
        <v>105</v>
      </c>
      <c r="D15" s="29" t="s">
        <v>530</v>
      </c>
      <c r="E15" s="29" t="s">
        <v>531</v>
      </c>
      <c r="F15" s="32" t="s">
        <v>148</v>
      </c>
      <c r="G15" s="29" t="s">
        <v>532</v>
      </c>
      <c r="H15" s="29" t="s">
        <v>533</v>
      </c>
      <c r="I15" s="48" t="s">
        <v>521</v>
      </c>
    </row>
    <row r="16" customFormat="false" ht="54.75" hidden="false" customHeight="true" outlineLevel="0" collapsed="false">
      <c r="A16" s="28" t="s">
        <v>198</v>
      </c>
      <c r="B16" s="29" t="s">
        <v>529</v>
      </c>
      <c r="C16" s="29" t="s">
        <v>105</v>
      </c>
      <c r="D16" s="29" t="s">
        <v>534</v>
      </c>
      <c r="E16" s="29" t="s">
        <v>535</v>
      </c>
      <c r="F16" s="32" t="s">
        <v>148</v>
      </c>
      <c r="G16" s="29" t="s">
        <v>536</v>
      </c>
      <c r="H16" s="29" t="s">
        <v>537</v>
      </c>
      <c r="I16" s="48" t="s">
        <v>521</v>
      </c>
    </row>
    <row r="17" customFormat="false" ht="54.75" hidden="false" customHeight="true" outlineLevel="0" collapsed="false">
      <c r="A17" s="28" t="s">
        <v>223</v>
      </c>
      <c r="B17" s="29" t="s">
        <v>366</v>
      </c>
      <c r="C17" s="29" t="s">
        <v>113</v>
      </c>
      <c r="D17" s="29" t="s">
        <v>538</v>
      </c>
      <c r="E17" s="29" t="s">
        <v>539</v>
      </c>
      <c r="F17" s="32" t="s">
        <v>148</v>
      </c>
      <c r="G17" s="29" t="s">
        <v>511</v>
      </c>
      <c r="H17" s="29" t="s">
        <v>540</v>
      </c>
      <c r="I17" s="48" t="s">
        <v>521</v>
      </c>
    </row>
    <row r="18" customFormat="false" ht="54.75" hidden="false" customHeight="true" outlineLevel="0" collapsed="false">
      <c r="A18" s="28" t="s">
        <v>336</v>
      </c>
      <c r="B18" s="29" t="s">
        <v>337</v>
      </c>
      <c r="C18" s="29" t="s">
        <v>109</v>
      </c>
      <c r="D18" s="29" t="s">
        <v>541</v>
      </c>
      <c r="E18" s="29" t="s">
        <v>542</v>
      </c>
      <c r="F18" s="32" t="s">
        <v>148</v>
      </c>
      <c r="G18" s="29" t="s">
        <v>543</v>
      </c>
      <c r="H18" s="29" t="s">
        <v>512</v>
      </c>
      <c r="I18" s="31" t="s">
        <v>144</v>
      </c>
    </row>
    <row r="19" customFormat="false" ht="54.75" hidden="false" customHeight="true" outlineLevel="0" collapsed="false">
      <c r="A19" s="28" t="s">
        <v>371</v>
      </c>
      <c r="B19" s="29" t="s">
        <v>366</v>
      </c>
      <c r="C19" s="29" t="s">
        <v>113</v>
      </c>
      <c r="D19" s="29" t="s">
        <v>544</v>
      </c>
      <c r="E19" s="29" t="s">
        <v>545</v>
      </c>
      <c r="F19" s="32" t="s">
        <v>148</v>
      </c>
      <c r="G19" s="29" t="s">
        <v>511</v>
      </c>
      <c r="H19" s="29" t="s">
        <v>546</v>
      </c>
      <c r="I19" s="48" t="s">
        <v>521</v>
      </c>
    </row>
    <row r="20" customFormat="false" ht="54.75" hidden="false" customHeight="true" outlineLevel="0" collapsed="false">
      <c r="A20" s="28" t="s">
        <v>390</v>
      </c>
      <c r="B20" s="29" t="s">
        <v>391</v>
      </c>
      <c r="C20" s="29" t="s">
        <v>109</v>
      </c>
      <c r="D20" s="29" t="s">
        <v>547</v>
      </c>
      <c r="E20" s="29" t="s">
        <v>548</v>
      </c>
      <c r="F20" s="32" t="s">
        <v>148</v>
      </c>
      <c r="G20" s="29" t="s">
        <v>549</v>
      </c>
      <c r="H20" s="29" t="s">
        <v>512</v>
      </c>
      <c r="I20" s="31" t="s">
        <v>144</v>
      </c>
    </row>
    <row r="21" customFormat="false" ht="54.75" hidden="false" customHeight="true" outlineLevel="0" collapsed="false">
      <c r="A21" s="28" t="s">
        <v>396</v>
      </c>
      <c r="B21" s="29" t="s">
        <v>355</v>
      </c>
      <c r="C21" s="29" t="s">
        <v>98</v>
      </c>
      <c r="D21" s="29" t="s">
        <v>550</v>
      </c>
      <c r="E21" s="29" t="s">
        <v>551</v>
      </c>
      <c r="F21" s="32" t="s">
        <v>148</v>
      </c>
      <c r="G21" s="29" t="s">
        <v>552</v>
      </c>
      <c r="H21" s="29" t="s">
        <v>553</v>
      </c>
      <c r="I21" s="31" t="s">
        <v>144</v>
      </c>
    </row>
    <row r="22" customFormat="false" ht="54.75" hidden="false" customHeight="true" outlineLevel="0" collapsed="false">
      <c r="A22" s="28" t="s">
        <v>265</v>
      </c>
      <c r="B22" s="29" t="s">
        <v>252</v>
      </c>
      <c r="C22" s="29" t="s">
        <v>554</v>
      </c>
      <c r="D22" s="29" t="s">
        <v>555</v>
      </c>
      <c r="E22" s="29" t="s">
        <v>556</v>
      </c>
      <c r="F22" s="32" t="s">
        <v>148</v>
      </c>
      <c r="G22" s="29" t="s">
        <v>557</v>
      </c>
      <c r="H22" s="29" t="s">
        <v>558</v>
      </c>
      <c r="I22" s="48" t="s">
        <v>521</v>
      </c>
    </row>
    <row r="23" customFormat="false" ht="54.75" hidden="false" customHeight="true" outlineLevel="0" collapsed="false">
      <c r="A23" s="28" t="s">
        <v>271</v>
      </c>
      <c r="B23" s="29" t="s">
        <v>252</v>
      </c>
      <c r="C23" s="29" t="s">
        <v>559</v>
      </c>
      <c r="D23" s="29" t="s">
        <v>560</v>
      </c>
      <c r="E23" s="29" t="s">
        <v>561</v>
      </c>
      <c r="F23" s="32" t="s">
        <v>148</v>
      </c>
      <c r="G23" s="29" t="s">
        <v>552</v>
      </c>
      <c r="H23" s="29" t="s">
        <v>562</v>
      </c>
      <c r="I23" s="31" t="s">
        <v>144</v>
      </c>
    </row>
    <row r="24" customFormat="false" ht="54.75" hidden="false" customHeight="true" outlineLevel="0" collapsed="false">
      <c r="A24" s="28" t="s">
        <v>284</v>
      </c>
      <c r="B24" s="29" t="s">
        <v>252</v>
      </c>
      <c r="C24" s="29" t="s">
        <v>102</v>
      </c>
      <c r="D24" s="29" t="s">
        <v>563</v>
      </c>
      <c r="E24" s="29" t="s">
        <v>564</v>
      </c>
      <c r="F24" s="32" t="s">
        <v>148</v>
      </c>
      <c r="G24" s="29" t="s">
        <v>565</v>
      </c>
      <c r="H24" s="29" t="s">
        <v>566</v>
      </c>
      <c r="I24" s="48" t="s">
        <v>521</v>
      </c>
    </row>
    <row r="25" customFormat="false" ht="54.75" hidden="false" customHeight="true" outlineLevel="0" collapsed="false">
      <c r="A25" s="28" t="s">
        <v>309</v>
      </c>
      <c r="B25" s="29" t="s">
        <v>252</v>
      </c>
      <c r="C25" s="29" t="s">
        <v>117</v>
      </c>
      <c r="D25" s="29" t="s">
        <v>567</v>
      </c>
      <c r="E25" s="29" t="s">
        <v>568</v>
      </c>
      <c r="F25" s="32" t="s">
        <v>148</v>
      </c>
      <c r="G25" s="29" t="s">
        <v>569</v>
      </c>
      <c r="H25" s="29" t="s">
        <v>570</v>
      </c>
      <c r="I25" s="48" t="s">
        <v>521</v>
      </c>
    </row>
    <row r="26" customFormat="false" ht="54.75" hidden="false" customHeight="true" outlineLevel="0" collapsed="false">
      <c r="A26" s="28" t="s">
        <v>169</v>
      </c>
      <c r="B26" s="29" t="s">
        <v>355</v>
      </c>
      <c r="C26" s="29" t="s">
        <v>98</v>
      </c>
      <c r="D26" s="29" t="s">
        <v>571</v>
      </c>
      <c r="E26" s="29" t="s">
        <v>572</v>
      </c>
      <c r="F26" s="33" t="s">
        <v>172</v>
      </c>
      <c r="G26" s="29" t="s">
        <v>552</v>
      </c>
      <c r="H26" s="29" t="s">
        <v>573</v>
      </c>
      <c r="I26" s="48" t="s">
        <v>521</v>
      </c>
    </row>
    <row r="27" customFormat="false" ht="54.75" hidden="false" customHeight="true" outlineLevel="0" collapsed="false">
      <c r="A27" s="28" t="s">
        <v>175</v>
      </c>
      <c r="B27" s="29" t="s">
        <v>574</v>
      </c>
      <c r="C27" s="29" t="s">
        <v>102</v>
      </c>
      <c r="D27" s="29" t="s">
        <v>575</v>
      </c>
      <c r="E27" s="29" t="s">
        <v>576</v>
      </c>
      <c r="F27" s="33" t="s">
        <v>172</v>
      </c>
      <c r="G27" s="29" t="s">
        <v>577</v>
      </c>
      <c r="H27" s="29" t="s">
        <v>578</v>
      </c>
      <c r="I27" s="48" t="s">
        <v>521</v>
      </c>
    </row>
    <row r="28" customFormat="false" ht="54.75" hidden="false" customHeight="true" outlineLevel="0" collapsed="false">
      <c r="A28" s="28" t="s">
        <v>183</v>
      </c>
      <c r="B28" s="29" t="s">
        <v>574</v>
      </c>
      <c r="C28" s="29" t="s">
        <v>102</v>
      </c>
      <c r="D28" s="29" t="s">
        <v>579</v>
      </c>
      <c r="E28" s="29" t="s">
        <v>580</v>
      </c>
      <c r="F28" s="33" t="s">
        <v>172</v>
      </c>
      <c r="G28" s="29" t="s">
        <v>565</v>
      </c>
      <c r="H28" s="29" t="s">
        <v>581</v>
      </c>
      <c r="I28" s="48" t="s">
        <v>521</v>
      </c>
    </row>
    <row r="29" customFormat="false" ht="54.75" hidden="false" customHeight="true" outlineLevel="0" collapsed="false">
      <c r="A29" s="28" t="s">
        <v>203</v>
      </c>
      <c r="B29" s="29" t="s">
        <v>366</v>
      </c>
      <c r="C29" s="29" t="s">
        <v>113</v>
      </c>
      <c r="D29" s="29" t="s">
        <v>582</v>
      </c>
      <c r="E29" s="29" t="s">
        <v>583</v>
      </c>
      <c r="F29" s="33" t="s">
        <v>172</v>
      </c>
      <c r="G29" s="29" t="s">
        <v>584</v>
      </c>
      <c r="H29" s="29" t="s">
        <v>585</v>
      </c>
      <c r="I29" s="48" t="s">
        <v>521</v>
      </c>
    </row>
    <row r="30" customFormat="false" ht="54.75" hidden="false" customHeight="true" outlineLevel="0" collapsed="false">
      <c r="A30" s="28" t="s">
        <v>208</v>
      </c>
      <c r="B30" s="29" t="s">
        <v>391</v>
      </c>
      <c r="C30" s="29" t="s">
        <v>109</v>
      </c>
      <c r="D30" s="29" t="s">
        <v>586</v>
      </c>
      <c r="E30" s="29" t="s">
        <v>587</v>
      </c>
      <c r="F30" s="33" t="s">
        <v>172</v>
      </c>
      <c r="G30" s="29" t="s">
        <v>588</v>
      </c>
      <c r="H30" s="29" t="s">
        <v>589</v>
      </c>
      <c r="I30" s="48" t="s">
        <v>521</v>
      </c>
    </row>
    <row r="31" customFormat="false" ht="54.75" hidden="false" customHeight="true" outlineLevel="0" collapsed="false">
      <c r="A31" s="28" t="s">
        <v>235</v>
      </c>
      <c r="B31" s="29" t="s">
        <v>331</v>
      </c>
      <c r="C31" s="29" t="s">
        <v>117</v>
      </c>
      <c r="D31" s="29" t="s">
        <v>590</v>
      </c>
      <c r="E31" s="29" t="s">
        <v>591</v>
      </c>
      <c r="F31" s="33" t="s">
        <v>172</v>
      </c>
      <c r="G31" s="29" t="s">
        <v>592</v>
      </c>
      <c r="H31" s="29" t="s">
        <v>593</v>
      </c>
      <c r="I31" s="48" t="s">
        <v>521</v>
      </c>
    </row>
    <row r="32" customFormat="false" ht="54.75" hidden="false" customHeight="true" outlineLevel="0" collapsed="false">
      <c r="A32" s="28" t="s">
        <v>240</v>
      </c>
      <c r="B32" s="29" t="s">
        <v>385</v>
      </c>
      <c r="C32" s="29" t="s">
        <v>121</v>
      </c>
      <c r="D32" s="29" t="s">
        <v>594</v>
      </c>
      <c r="E32" s="29" t="s">
        <v>595</v>
      </c>
      <c r="F32" s="33" t="s">
        <v>172</v>
      </c>
      <c r="G32" s="29" t="s">
        <v>596</v>
      </c>
      <c r="H32" s="29" t="s">
        <v>597</v>
      </c>
      <c r="I32" s="48" t="s">
        <v>521</v>
      </c>
    </row>
    <row r="33" customFormat="false" ht="54.75" hidden="false" customHeight="true" outlineLevel="0" collapsed="false">
      <c r="A33" s="28" t="s">
        <v>342</v>
      </c>
      <c r="B33" s="29" t="s">
        <v>337</v>
      </c>
      <c r="C33" s="29" t="s">
        <v>598</v>
      </c>
      <c r="D33" s="29" t="s">
        <v>599</v>
      </c>
      <c r="E33" s="29" t="s">
        <v>600</v>
      </c>
      <c r="F33" s="33" t="s">
        <v>172</v>
      </c>
      <c r="G33" s="29" t="s">
        <v>601</v>
      </c>
      <c r="H33" s="29" t="s">
        <v>602</v>
      </c>
      <c r="I33" s="48" t="s">
        <v>521</v>
      </c>
    </row>
    <row r="34" customFormat="false" ht="54.75" hidden="false" customHeight="true" outlineLevel="0" collapsed="false">
      <c r="A34" s="28" t="s">
        <v>365</v>
      </c>
      <c r="B34" s="29" t="s">
        <v>366</v>
      </c>
      <c r="C34" s="29" t="s">
        <v>113</v>
      </c>
      <c r="D34" s="29" t="s">
        <v>603</v>
      </c>
      <c r="E34" s="29" t="s">
        <v>604</v>
      </c>
      <c r="F34" s="33" t="s">
        <v>172</v>
      </c>
      <c r="G34" s="29" t="s">
        <v>605</v>
      </c>
      <c r="H34" s="29" t="s">
        <v>606</v>
      </c>
      <c r="I34" s="48" t="s">
        <v>521</v>
      </c>
    </row>
    <row r="35" customFormat="false" ht="54.75" hidden="false" customHeight="true" outlineLevel="0" collapsed="false">
      <c r="A35" s="28" t="s">
        <v>384</v>
      </c>
      <c r="B35" s="29" t="s">
        <v>366</v>
      </c>
      <c r="C35" s="29" t="s">
        <v>607</v>
      </c>
      <c r="D35" s="29" t="s">
        <v>608</v>
      </c>
      <c r="E35" s="29" t="s">
        <v>609</v>
      </c>
      <c r="F35" s="33" t="s">
        <v>172</v>
      </c>
      <c r="G35" s="29" t="s">
        <v>577</v>
      </c>
      <c r="H35" s="29" t="s">
        <v>566</v>
      </c>
      <c r="I35" s="48" t="s">
        <v>521</v>
      </c>
    </row>
    <row r="36" customFormat="false" ht="54.75" hidden="false" customHeight="true" outlineLevel="0" collapsed="false">
      <c r="A36" s="28" t="s">
        <v>402</v>
      </c>
      <c r="B36" s="29" t="s">
        <v>331</v>
      </c>
      <c r="C36" s="29" t="s">
        <v>117</v>
      </c>
      <c r="D36" s="29" t="s">
        <v>610</v>
      </c>
      <c r="E36" s="29" t="s">
        <v>611</v>
      </c>
      <c r="F36" s="33" t="s">
        <v>172</v>
      </c>
      <c r="G36" s="29" t="s">
        <v>612</v>
      </c>
      <c r="H36" s="29" t="s">
        <v>613</v>
      </c>
      <c r="I36" s="34" t="s">
        <v>383</v>
      </c>
    </row>
    <row r="37" customFormat="false" ht="54.75" hidden="false" customHeight="true" outlineLevel="0" collapsed="false">
      <c r="A37" s="28" t="s">
        <v>277</v>
      </c>
      <c r="B37" s="29" t="s">
        <v>252</v>
      </c>
      <c r="C37" s="29" t="s">
        <v>98</v>
      </c>
      <c r="D37" s="29" t="s">
        <v>614</v>
      </c>
      <c r="E37" s="29" t="s">
        <v>615</v>
      </c>
      <c r="F37" s="33" t="s">
        <v>172</v>
      </c>
      <c r="G37" s="29" t="s">
        <v>552</v>
      </c>
      <c r="H37" s="29" t="s">
        <v>616</v>
      </c>
      <c r="I37" s="31" t="s">
        <v>144</v>
      </c>
    </row>
    <row r="38" customFormat="false" ht="54.75" hidden="false" customHeight="true" outlineLevel="0" collapsed="false">
      <c r="A38" s="28" t="s">
        <v>291</v>
      </c>
      <c r="B38" s="29" t="s">
        <v>252</v>
      </c>
      <c r="C38" s="29" t="s">
        <v>109</v>
      </c>
      <c r="D38" s="29" t="s">
        <v>617</v>
      </c>
      <c r="E38" s="29" t="s">
        <v>618</v>
      </c>
      <c r="F38" s="33" t="s">
        <v>172</v>
      </c>
      <c r="G38" s="29" t="s">
        <v>588</v>
      </c>
      <c r="H38" s="29" t="s">
        <v>589</v>
      </c>
      <c r="I38" s="48" t="s">
        <v>521</v>
      </c>
    </row>
    <row r="39" customFormat="false" ht="54.75" hidden="false" customHeight="true" outlineLevel="0" collapsed="false">
      <c r="A39" s="28" t="s">
        <v>297</v>
      </c>
      <c r="B39" s="29" t="s">
        <v>252</v>
      </c>
      <c r="C39" s="29" t="s">
        <v>619</v>
      </c>
      <c r="D39" s="29" t="s">
        <v>620</v>
      </c>
      <c r="E39" s="29" t="s">
        <v>621</v>
      </c>
      <c r="F39" s="33" t="s">
        <v>172</v>
      </c>
      <c r="G39" s="29" t="s">
        <v>622</v>
      </c>
      <c r="H39" s="29" t="s">
        <v>623</v>
      </c>
      <c r="I39" s="48" t="s">
        <v>521</v>
      </c>
    </row>
    <row r="40" customFormat="false" ht="54.75" hidden="false" customHeight="true" outlineLevel="0" collapsed="false">
      <c r="A40" s="28" t="s">
        <v>316</v>
      </c>
      <c r="B40" s="29" t="s">
        <v>252</v>
      </c>
      <c r="C40" s="29" t="s">
        <v>105</v>
      </c>
      <c r="D40" s="29" t="s">
        <v>624</v>
      </c>
      <c r="E40" s="29" t="s">
        <v>625</v>
      </c>
      <c r="F40" s="33" t="s">
        <v>172</v>
      </c>
      <c r="G40" s="29" t="s">
        <v>350</v>
      </c>
      <c r="H40" s="29" t="s">
        <v>626</v>
      </c>
      <c r="I40" s="31" t="s">
        <v>322</v>
      </c>
    </row>
    <row r="41" customFormat="false" ht="54.75" hidden="false" customHeight="true" outlineLevel="0" collapsed="false">
      <c r="A41" s="28" t="s">
        <v>188</v>
      </c>
      <c r="B41" s="29" t="s">
        <v>366</v>
      </c>
      <c r="C41" s="29" t="s">
        <v>627</v>
      </c>
      <c r="D41" s="29" t="s">
        <v>628</v>
      </c>
      <c r="E41" s="29" t="s">
        <v>629</v>
      </c>
      <c r="F41" s="34" t="s">
        <v>178</v>
      </c>
      <c r="G41" s="29" t="s">
        <v>588</v>
      </c>
      <c r="H41" s="29" t="s">
        <v>630</v>
      </c>
      <c r="I41" s="48" t="s">
        <v>521</v>
      </c>
    </row>
    <row r="42" customFormat="false" ht="54.75" hidden="false" customHeight="true" outlineLevel="0" collapsed="false">
      <c r="A42" s="28" t="s">
        <v>213</v>
      </c>
      <c r="B42" s="29" t="s">
        <v>391</v>
      </c>
      <c r="C42" s="29" t="s">
        <v>109</v>
      </c>
      <c r="D42" s="29" t="s">
        <v>631</v>
      </c>
      <c r="E42" s="29" t="s">
        <v>632</v>
      </c>
      <c r="F42" s="34" t="s">
        <v>178</v>
      </c>
      <c r="G42" s="29" t="s">
        <v>588</v>
      </c>
      <c r="H42" s="29" t="s">
        <v>633</v>
      </c>
      <c r="I42" s="34" t="s">
        <v>383</v>
      </c>
    </row>
    <row r="43" customFormat="false" ht="54.75" hidden="false" customHeight="true" outlineLevel="0" collapsed="false">
      <c r="A43" s="28" t="s">
        <v>228</v>
      </c>
      <c r="B43" s="29" t="s">
        <v>331</v>
      </c>
      <c r="C43" s="29" t="s">
        <v>117</v>
      </c>
      <c r="D43" s="29" t="s">
        <v>634</v>
      </c>
      <c r="E43" s="29" t="s">
        <v>635</v>
      </c>
      <c r="F43" s="34" t="s">
        <v>178</v>
      </c>
      <c r="G43" s="29" t="s">
        <v>495</v>
      </c>
      <c r="H43" s="29" t="s">
        <v>636</v>
      </c>
      <c r="I43" s="31" t="s">
        <v>144</v>
      </c>
    </row>
    <row r="44" customFormat="false" ht="54.75" hidden="false" customHeight="true" outlineLevel="0" collapsed="false">
      <c r="A44" s="28" t="s">
        <v>245</v>
      </c>
      <c r="B44" s="29" t="s">
        <v>385</v>
      </c>
      <c r="C44" s="29" t="s">
        <v>121</v>
      </c>
      <c r="D44" s="29" t="s">
        <v>637</v>
      </c>
      <c r="E44" s="29" t="s">
        <v>638</v>
      </c>
      <c r="F44" s="34" t="s">
        <v>178</v>
      </c>
      <c r="G44" s="29" t="s">
        <v>639</v>
      </c>
      <c r="H44" s="29" t="s">
        <v>640</v>
      </c>
      <c r="I44" s="48" t="s">
        <v>521</v>
      </c>
    </row>
    <row r="45" customFormat="false" ht="54.75" hidden="false" customHeight="true" outlineLevel="0" collapsed="false">
      <c r="A45" s="28" t="s">
        <v>376</v>
      </c>
      <c r="B45" s="29" t="s">
        <v>377</v>
      </c>
      <c r="C45" s="29" t="s">
        <v>119</v>
      </c>
      <c r="D45" s="29" t="s">
        <v>641</v>
      </c>
      <c r="E45" s="29" t="s">
        <v>642</v>
      </c>
      <c r="F45" s="34" t="s">
        <v>178</v>
      </c>
      <c r="G45" s="29" t="s">
        <v>350</v>
      </c>
      <c r="H45" s="29" t="s">
        <v>643</v>
      </c>
      <c r="I45" s="34" t="s">
        <v>383</v>
      </c>
    </row>
    <row r="46" customFormat="false" ht="54.75" hidden="false" customHeight="true" outlineLevel="0" collapsed="false">
      <c r="A46" s="28" t="s">
        <v>407</v>
      </c>
      <c r="B46" s="29" t="s">
        <v>366</v>
      </c>
      <c r="C46" s="29" t="s">
        <v>113</v>
      </c>
      <c r="D46" s="29" t="s">
        <v>644</v>
      </c>
      <c r="E46" s="29" t="s">
        <v>645</v>
      </c>
      <c r="F46" s="34" t="s">
        <v>178</v>
      </c>
      <c r="G46" s="29" t="s">
        <v>588</v>
      </c>
      <c r="H46" s="29" t="s">
        <v>630</v>
      </c>
      <c r="I46" s="48" t="s">
        <v>521</v>
      </c>
    </row>
    <row r="47" customFormat="false" ht="54.75" hidden="false" customHeight="true" outlineLevel="0" collapsed="false">
      <c r="A47" s="28" t="s">
        <v>303</v>
      </c>
      <c r="B47" s="29" t="s">
        <v>252</v>
      </c>
      <c r="C47" s="29" t="s">
        <v>119</v>
      </c>
      <c r="D47" s="29" t="s">
        <v>646</v>
      </c>
      <c r="E47" s="29" t="s">
        <v>647</v>
      </c>
      <c r="F47" s="34" t="s">
        <v>178</v>
      </c>
      <c r="G47" s="29" t="s">
        <v>648</v>
      </c>
      <c r="H47" s="29" t="s">
        <v>649</v>
      </c>
      <c r="I47" s="31" t="s">
        <v>144</v>
      </c>
    </row>
    <row r="48" customFormat="false" ht="54.75" hidden="false" customHeight="true" outlineLevel="0" collapsed="false">
      <c r="A48" s="28" t="s">
        <v>347</v>
      </c>
      <c r="B48" s="29" t="s">
        <v>337</v>
      </c>
      <c r="C48" s="29" t="s">
        <v>598</v>
      </c>
      <c r="D48" s="29" t="s">
        <v>650</v>
      </c>
      <c r="E48" s="29" t="s">
        <v>651</v>
      </c>
      <c r="F48" s="33" t="s">
        <v>353</v>
      </c>
      <c r="G48" s="29" t="s">
        <v>652</v>
      </c>
      <c r="H48" s="29" t="s">
        <v>653</v>
      </c>
      <c r="I48" s="33" t="s">
        <v>654</v>
      </c>
    </row>
    <row r="49" customFormat="false" ht="54.75" hidden="false" customHeight="true" outlineLevel="0" collapsed="false">
      <c r="A49" s="28" t="s">
        <v>354</v>
      </c>
      <c r="B49" s="29" t="s">
        <v>355</v>
      </c>
      <c r="C49" s="29" t="s">
        <v>598</v>
      </c>
      <c r="D49" s="29" t="s">
        <v>655</v>
      </c>
      <c r="E49" s="29" t="s">
        <v>656</v>
      </c>
      <c r="F49" s="33" t="s">
        <v>353</v>
      </c>
      <c r="G49" s="29" t="s">
        <v>657</v>
      </c>
      <c r="H49" s="29" t="s">
        <v>658</v>
      </c>
      <c r="I49" s="33" t="s">
        <v>654</v>
      </c>
    </row>
    <row r="50" customFormat="false" ht="54.75" hidden="false" customHeight="true" outlineLevel="0" collapsed="false">
      <c r="A50" s="28" t="s">
        <v>360</v>
      </c>
      <c r="B50" s="29" t="s">
        <v>355</v>
      </c>
      <c r="C50" s="29" t="s">
        <v>598</v>
      </c>
      <c r="D50" s="29" t="s">
        <v>659</v>
      </c>
      <c r="E50" s="29" t="s">
        <v>660</v>
      </c>
      <c r="F50" s="33" t="s">
        <v>353</v>
      </c>
      <c r="G50" s="29" t="s">
        <v>661</v>
      </c>
      <c r="H50" s="29" t="s">
        <v>658</v>
      </c>
      <c r="I50" s="33" t="s">
        <v>654</v>
      </c>
    </row>
    <row r="51" customFormat="false" ht="54.75" hidden="false" customHeight="true" outlineLevel="0" collapsed="false">
      <c r="A51" s="28" t="s">
        <v>444</v>
      </c>
      <c r="B51" s="29" t="s">
        <v>662</v>
      </c>
      <c r="C51" s="29" t="s">
        <v>117</v>
      </c>
      <c r="D51" s="29" t="s">
        <v>663</v>
      </c>
      <c r="E51" s="29" t="s">
        <v>664</v>
      </c>
      <c r="F51" s="32" t="s">
        <v>665</v>
      </c>
      <c r="G51" s="29" t="s">
        <v>666</v>
      </c>
      <c r="H51" s="29" t="s">
        <v>667</v>
      </c>
      <c r="I51" s="31" t="s">
        <v>144</v>
      </c>
    </row>
    <row r="52" customFormat="false" ht="54.75" hidden="false" customHeight="true" outlineLevel="0" collapsed="false">
      <c r="A52" s="28" t="s">
        <v>451</v>
      </c>
      <c r="B52" s="29" t="s">
        <v>662</v>
      </c>
      <c r="C52" s="29" t="s">
        <v>98</v>
      </c>
      <c r="D52" s="29" t="s">
        <v>668</v>
      </c>
      <c r="E52" s="29" t="s">
        <v>669</v>
      </c>
      <c r="F52" s="32" t="s">
        <v>665</v>
      </c>
      <c r="G52" s="29" t="s">
        <v>552</v>
      </c>
      <c r="H52" s="29" t="s">
        <v>670</v>
      </c>
      <c r="I52" s="31" t="s">
        <v>144</v>
      </c>
    </row>
    <row r="53" customFormat="false" ht="54.75" hidden="false" customHeight="true" outlineLevel="0" collapsed="false">
      <c r="A53" s="28" t="s">
        <v>459</v>
      </c>
      <c r="B53" s="29" t="s">
        <v>662</v>
      </c>
      <c r="C53" s="29" t="s">
        <v>109</v>
      </c>
      <c r="D53" s="29" t="s">
        <v>671</v>
      </c>
      <c r="E53" s="29" t="s">
        <v>672</v>
      </c>
      <c r="F53" s="32" t="s">
        <v>665</v>
      </c>
      <c r="G53" s="29" t="s">
        <v>673</v>
      </c>
      <c r="H53" s="29" t="s">
        <v>674</v>
      </c>
      <c r="I53" s="31" t="s">
        <v>144</v>
      </c>
    </row>
    <row r="54" customFormat="false" ht="54.75" hidden="false" customHeight="true" outlineLevel="0" collapsed="false">
      <c r="A54" s="28" t="s">
        <v>466</v>
      </c>
      <c r="B54" s="29" t="s">
        <v>662</v>
      </c>
      <c r="C54" s="29" t="s">
        <v>113</v>
      </c>
      <c r="D54" s="29" t="s">
        <v>675</v>
      </c>
      <c r="E54" s="29" t="s">
        <v>676</v>
      </c>
      <c r="F54" s="32" t="s">
        <v>665</v>
      </c>
      <c r="G54" s="29" t="s">
        <v>612</v>
      </c>
      <c r="H54" s="29" t="s">
        <v>677</v>
      </c>
      <c r="I54" s="48" t="s">
        <v>521</v>
      </c>
    </row>
    <row r="55" customFormat="false" ht="54.75" hidden="false" customHeight="true" outlineLevel="0" collapsed="false">
      <c r="A55" s="28" t="s">
        <v>474</v>
      </c>
      <c r="B55" s="29" t="s">
        <v>662</v>
      </c>
      <c r="C55" s="29" t="s">
        <v>121</v>
      </c>
      <c r="D55" s="29" t="s">
        <v>678</v>
      </c>
      <c r="E55" s="29" t="s">
        <v>679</v>
      </c>
      <c r="F55" s="32" t="s">
        <v>665</v>
      </c>
      <c r="G55" s="29" t="s">
        <v>680</v>
      </c>
      <c r="H55" s="29" t="s">
        <v>681</v>
      </c>
      <c r="I55" s="48" t="s">
        <v>521</v>
      </c>
    </row>
  </sheetData>
  <mergeCells count="6">
    <mergeCell ref="A1:I1"/>
    <mergeCell ref="A2:I2"/>
    <mergeCell ref="A3:B3"/>
    <mergeCell ref="C3:D3"/>
    <mergeCell ref="E3:F3"/>
    <mergeCell ref="G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682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692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21.75" hidden="false" customHeight="true" outlineLevel="0" collapsed="false">
      <c r="A5" s="5" t="s">
        <v>693</v>
      </c>
      <c r="B5" s="5" t="s">
        <v>694</v>
      </c>
      <c r="C5" s="5" t="s">
        <v>695</v>
      </c>
      <c r="D5" s="5" t="s">
        <v>77</v>
      </c>
      <c r="E5" s="5" t="s">
        <v>696</v>
      </c>
      <c r="F5" s="5" t="s">
        <v>697</v>
      </c>
      <c r="G5" s="16" t="s">
        <v>84</v>
      </c>
      <c r="H5" s="5" t="s">
        <v>698</v>
      </c>
      <c r="I5" s="5" t="s">
        <v>699</v>
      </c>
      <c r="J5" s="15" t="s">
        <v>700</v>
      </c>
      <c r="K5" s="52" t="n">
        <v>0</v>
      </c>
      <c r="L5" s="5"/>
    </row>
    <row r="6" customFormat="false" ht="21.75" hidden="false" customHeight="true" outlineLevel="0" collapsed="false">
      <c r="A6" s="8" t="s">
        <v>701</v>
      </c>
      <c r="B6" s="8" t="s">
        <v>694</v>
      </c>
      <c r="C6" s="8" t="s">
        <v>702</v>
      </c>
      <c r="D6" s="8" t="s">
        <v>77</v>
      </c>
      <c r="E6" s="8" t="s">
        <v>696</v>
      </c>
      <c r="F6" s="8" t="s">
        <v>697</v>
      </c>
      <c r="G6" s="16" t="s">
        <v>84</v>
      </c>
      <c r="H6" s="8" t="s">
        <v>703</v>
      </c>
      <c r="I6" s="8" t="s">
        <v>704</v>
      </c>
      <c r="J6" s="17" t="s">
        <v>700</v>
      </c>
      <c r="K6" s="53" t="n">
        <v>0</v>
      </c>
      <c r="L6" s="8" t="s">
        <v>705</v>
      </c>
    </row>
    <row r="7" customFormat="false" ht="21.75" hidden="false" customHeight="true" outlineLevel="0" collapsed="false">
      <c r="A7" s="5" t="s">
        <v>706</v>
      </c>
      <c r="B7" s="5" t="s">
        <v>694</v>
      </c>
      <c r="C7" s="5" t="s">
        <v>707</v>
      </c>
      <c r="D7" s="5" t="s">
        <v>77</v>
      </c>
      <c r="E7" s="5" t="s">
        <v>708</v>
      </c>
      <c r="F7" s="5" t="s">
        <v>697</v>
      </c>
      <c r="G7" s="16" t="s">
        <v>84</v>
      </c>
      <c r="H7" s="5" t="s">
        <v>709</v>
      </c>
      <c r="I7" s="5" t="s">
        <v>710</v>
      </c>
      <c r="J7" s="15" t="s">
        <v>700</v>
      </c>
      <c r="K7" s="52" t="n">
        <v>0</v>
      </c>
      <c r="L7" s="5"/>
    </row>
    <row r="8" customFormat="false" ht="21.75" hidden="false" customHeight="true" outlineLevel="0" collapsed="false">
      <c r="A8" s="8" t="s">
        <v>711</v>
      </c>
      <c r="B8" s="8" t="s">
        <v>694</v>
      </c>
      <c r="C8" s="8" t="s">
        <v>712</v>
      </c>
      <c r="D8" s="8" t="s">
        <v>77</v>
      </c>
      <c r="E8" s="8" t="s">
        <v>713</v>
      </c>
      <c r="F8" s="8" t="s">
        <v>697</v>
      </c>
      <c r="G8" s="16" t="s">
        <v>84</v>
      </c>
      <c r="H8" s="8" t="s">
        <v>714</v>
      </c>
      <c r="I8" s="8" t="s">
        <v>715</v>
      </c>
      <c r="J8" s="17" t="s">
        <v>700</v>
      </c>
      <c r="K8" s="53" t="n">
        <v>0</v>
      </c>
      <c r="L8" s="8"/>
    </row>
    <row r="9" customFormat="false" ht="21.75" hidden="false" customHeight="true" outlineLevel="0" collapsed="false">
      <c r="A9" s="5" t="s">
        <v>716</v>
      </c>
      <c r="B9" s="5" t="s">
        <v>694</v>
      </c>
      <c r="C9" s="5" t="s">
        <v>717</v>
      </c>
      <c r="D9" s="5" t="s">
        <v>77</v>
      </c>
      <c r="E9" s="5" t="s">
        <v>713</v>
      </c>
      <c r="F9" s="5" t="s">
        <v>718</v>
      </c>
      <c r="G9" s="16" t="s">
        <v>84</v>
      </c>
      <c r="H9" s="5" t="s">
        <v>719</v>
      </c>
      <c r="I9" s="5" t="s">
        <v>720</v>
      </c>
      <c r="J9" s="15" t="s">
        <v>700</v>
      </c>
      <c r="K9" s="52" t="n">
        <v>0</v>
      </c>
      <c r="L9" s="5" t="s">
        <v>721</v>
      </c>
    </row>
    <row r="10" customFormat="false" ht="21.75" hidden="false" customHeight="true" outlineLevel="0" collapsed="false">
      <c r="A10" s="8" t="s">
        <v>722</v>
      </c>
      <c r="B10" s="8" t="s">
        <v>694</v>
      </c>
      <c r="C10" s="8" t="s">
        <v>723</v>
      </c>
      <c r="D10" s="8" t="s">
        <v>77</v>
      </c>
      <c r="E10" s="8" t="s">
        <v>724</v>
      </c>
      <c r="F10" s="8" t="s">
        <v>718</v>
      </c>
      <c r="G10" s="16" t="s">
        <v>84</v>
      </c>
      <c r="H10" s="8" t="s">
        <v>725</v>
      </c>
      <c r="I10" s="8" t="s">
        <v>726</v>
      </c>
      <c r="J10" s="17" t="s">
        <v>700</v>
      </c>
      <c r="K10" s="53" t="n">
        <v>0</v>
      </c>
      <c r="L10" s="8" t="s">
        <v>727</v>
      </c>
    </row>
    <row r="11" customFormat="false" ht="21.75" hidden="false" customHeight="true" outlineLevel="0" collapsed="false">
      <c r="A11" s="5" t="s">
        <v>728</v>
      </c>
      <c r="B11" s="5" t="s">
        <v>694</v>
      </c>
      <c r="C11" s="5" t="s">
        <v>729</v>
      </c>
      <c r="D11" s="5" t="s">
        <v>77</v>
      </c>
      <c r="E11" s="5" t="s">
        <v>724</v>
      </c>
      <c r="F11" s="5" t="s">
        <v>718</v>
      </c>
      <c r="G11" s="16" t="s">
        <v>84</v>
      </c>
      <c r="H11" s="5" t="s">
        <v>730</v>
      </c>
      <c r="I11" s="5" t="s">
        <v>731</v>
      </c>
      <c r="J11" s="15" t="s">
        <v>700</v>
      </c>
      <c r="K11" s="52" t="n">
        <v>0</v>
      </c>
      <c r="L11" s="5"/>
    </row>
    <row r="12" customFormat="false" ht="15" hidden="false" customHeight="true" outlineLevel="0" collapsed="false">
      <c r="A12" s="51" t="s">
        <v>732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customFormat="false" ht="21.75" hidden="false" customHeight="true" outlineLevel="0" collapsed="false">
      <c r="A13" s="5" t="s">
        <v>733</v>
      </c>
      <c r="B13" s="5" t="s">
        <v>734</v>
      </c>
      <c r="C13" s="5" t="s">
        <v>735</v>
      </c>
      <c r="D13" s="5" t="s">
        <v>77</v>
      </c>
      <c r="E13" s="5" t="s">
        <v>736</v>
      </c>
      <c r="F13" s="5" t="s">
        <v>697</v>
      </c>
      <c r="G13" s="16" t="s">
        <v>84</v>
      </c>
      <c r="H13" s="5" t="s">
        <v>737</v>
      </c>
      <c r="I13" s="5" t="s">
        <v>738</v>
      </c>
      <c r="J13" s="15" t="s">
        <v>700</v>
      </c>
      <c r="K13" s="52" t="n">
        <v>0</v>
      </c>
      <c r="L13" s="5"/>
    </row>
    <row r="14" customFormat="false" ht="21.75" hidden="false" customHeight="true" outlineLevel="0" collapsed="false">
      <c r="A14" s="8" t="s">
        <v>739</v>
      </c>
      <c r="B14" s="8" t="s">
        <v>734</v>
      </c>
      <c r="C14" s="8" t="s">
        <v>740</v>
      </c>
      <c r="D14" s="8" t="s">
        <v>77</v>
      </c>
      <c r="E14" s="8" t="s">
        <v>713</v>
      </c>
      <c r="F14" s="8" t="s">
        <v>697</v>
      </c>
      <c r="G14" s="16" t="s">
        <v>84</v>
      </c>
      <c r="H14" s="8" t="s">
        <v>741</v>
      </c>
      <c r="I14" s="8" t="s">
        <v>742</v>
      </c>
      <c r="J14" s="17" t="s">
        <v>700</v>
      </c>
      <c r="K14" s="53" t="n">
        <v>0</v>
      </c>
      <c r="L14" s="8"/>
    </row>
    <row r="15" customFormat="false" ht="21.75" hidden="false" customHeight="true" outlineLevel="0" collapsed="false">
      <c r="A15" s="5" t="s">
        <v>743</v>
      </c>
      <c r="B15" s="5" t="s">
        <v>734</v>
      </c>
      <c r="C15" s="5" t="s">
        <v>744</v>
      </c>
      <c r="D15" s="5" t="s">
        <v>77</v>
      </c>
      <c r="E15" s="5" t="s">
        <v>713</v>
      </c>
      <c r="F15" s="5" t="s">
        <v>697</v>
      </c>
      <c r="G15" s="16" t="s">
        <v>84</v>
      </c>
      <c r="H15" s="5" t="s">
        <v>745</v>
      </c>
      <c r="I15" s="5" t="s">
        <v>746</v>
      </c>
      <c r="J15" s="15" t="s">
        <v>700</v>
      </c>
      <c r="K15" s="52" t="n">
        <v>0</v>
      </c>
      <c r="L15" s="5"/>
    </row>
    <row r="16" customFormat="false" ht="21.75" hidden="false" customHeight="true" outlineLevel="0" collapsed="false">
      <c r="A16" s="8" t="s">
        <v>747</v>
      </c>
      <c r="B16" s="8" t="s">
        <v>734</v>
      </c>
      <c r="C16" s="8" t="s">
        <v>748</v>
      </c>
      <c r="D16" s="8" t="s">
        <v>77</v>
      </c>
      <c r="E16" s="8" t="s">
        <v>749</v>
      </c>
      <c r="F16" s="8" t="s">
        <v>697</v>
      </c>
      <c r="G16" s="16" t="s">
        <v>84</v>
      </c>
      <c r="H16" s="8" t="s">
        <v>750</v>
      </c>
      <c r="I16" s="8" t="s">
        <v>751</v>
      </c>
      <c r="J16" s="17" t="s">
        <v>700</v>
      </c>
      <c r="K16" s="53" t="n">
        <v>0</v>
      </c>
      <c r="L16" s="8" t="s">
        <v>752</v>
      </c>
    </row>
    <row r="17" customFormat="false" ht="15" hidden="false" customHeight="true" outlineLevel="0" collapsed="false">
      <c r="A17" s="5" t="s">
        <v>753</v>
      </c>
      <c r="B17" s="5" t="s">
        <v>734</v>
      </c>
      <c r="C17" s="5" t="s">
        <v>754</v>
      </c>
      <c r="D17" s="5" t="s">
        <v>77</v>
      </c>
      <c r="E17" s="5" t="s">
        <v>755</v>
      </c>
      <c r="F17" s="5" t="s">
        <v>718</v>
      </c>
      <c r="G17" s="16" t="s">
        <v>84</v>
      </c>
      <c r="H17" s="5" t="s">
        <v>756</v>
      </c>
      <c r="I17" s="5" t="s">
        <v>757</v>
      </c>
      <c r="J17" s="15" t="s">
        <v>700</v>
      </c>
      <c r="K17" s="52" t="n">
        <v>0</v>
      </c>
      <c r="L17" s="5"/>
    </row>
    <row r="18" customFormat="false" ht="21.75" hidden="false" customHeight="true" outlineLevel="0" collapsed="false">
      <c r="A18" s="8" t="s">
        <v>758</v>
      </c>
      <c r="B18" s="8" t="s">
        <v>734</v>
      </c>
      <c r="C18" s="8" t="s">
        <v>759</v>
      </c>
      <c r="D18" s="8" t="s">
        <v>77</v>
      </c>
      <c r="E18" s="8" t="s">
        <v>755</v>
      </c>
      <c r="F18" s="8" t="s">
        <v>697</v>
      </c>
      <c r="G18" s="16" t="s">
        <v>84</v>
      </c>
      <c r="H18" s="8" t="s">
        <v>760</v>
      </c>
      <c r="I18" s="8" t="s">
        <v>761</v>
      </c>
      <c r="J18" s="17" t="s">
        <v>700</v>
      </c>
      <c r="K18" s="53" t="n">
        <v>0</v>
      </c>
      <c r="L18" s="8"/>
    </row>
    <row r="19" customFormat="false" ht="21.75" hidden="false" customHeight="true" outlineLevel="0" collapsed="false">
      <c r="A19" s="5" t="s">
        <v>762</v>
      </c>
      <c r="B19" s="5" t="s">
        <v>734</v>
      </c>
      <c r="C19" s="5" t="s">
        <v>763</v>
      </c>
      <c r="D19" s="5" t="s">
        <v>77</v>
      </c>
      <c r="E19" s="5" t="s">
        <v>755</v>
      </c>
      <c r="F19" s="5" t="s">
        <v>718</v>
      </c>
      <c r="G19" s="16" t="s">
        <v>84</v>
      </c>
      <c r="H19" s="5" t="s">
        <v>764</v>
      </c>
      <c r="I19" s="5" t="s">
        <v>765</v>
      </c>
      <c r="J19" s="15" t="s">
        <v>700</v>
      </c>
      <c r="K19" s="52" t="n">
        <v>0</v>
      </c>
      <c r="L19" s="5"/>
    </row>
    <row r="20" customFormat="false" ht="15" hidden="false" customHeight="true" outlineLevel="0" collapsed="false">
      <c r="A20" s="51" t="s">
        <v>766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</row>
    <row r="21" customFormat="false" ht="21.75" hidden="false" customHeight="true" outlineLevel="0" collapsed="false">
      <c r="A21" s="5" t="s">
        <v>767</v>
      </c>
      <c r="B21" s="5" t="s">
        <v>768</v>
      </c>
      <c r="C21" s="5" t="s">
        <v>769</v>
      </c>
      <c r="D21" s="5" t="s">
        <v>77</v>
      </c>
      <c r="E21" s="5" t="s">
        <v>708</v>
      </c>
      <c r="F21" s="5" t="s">
        <v>697</v>
      </c>
      <c r="G21" s="16" t="s">
        <v>84</v>
      </c>
      <c r="H21" s="5" t="s">
        <v>770</v>
      </c>
      <c r="I21" s="5" t="s">
        <v>771</v>
      </c>
      <c r="J21" s="15" t="s">
        <v>700</v>
      </c>
      <c r="K21" s="52" t="n">
        <v>0</v>
      </c>
      <c r="L21" s="5" t="s">
        <v>772</v>
      </c>
    </row>
    <row r="22" customFormat="false" ht="21.75" hidden="false" customHeight="true" outlineLevel="0" collapsed="false">
      <c r="A22" s="8" t="s">
        <v>773</v>
      </c>
      <c r="B22" s="8" t="s">
        <v>768</v>
      </c>
      <c r="C22" s="8" t="s">
        <v>774</v>
      </c>
      <c r="D22" s="8" t="s">
        <v>77</v>
      </c>
      <c r="E22" s="8" t="s">
        <v>713</v>
      </c>
      <c r="F22" s="8" t="s">
        <v>697</v>
      </c>
      <c r="G22" s="16" t="s">
        <v>84</v>
      </c>
      <c r="H22" s="8" t="s">
        <v>775</v>
      </c>
      <c r="I22" s="8" t="s">
        <v>776</v>
      </c>
      <c r="J22" s="17" t="s">
        <v>700</v>
      </c>
      <c r="K22" s="53" t="n">
        <v>0</v>
      </c>
      <c r="L22" s="8"/>
    </row>
    <row r="23" customFormat="false" ht="21.75" hidden="false" customHeight="true" outlineLevel="0" collapsed="false">
      <c r="A23" s="5" t="s">
        <v>777</v>
      </c>
      <c r="B23" s="5" t="s">
        <v>768</v>
      </c>
      <c r="C23" s="5" t="s">
        <v>778</v>
      </c>
      <c r="D23" s="5" t="s">
        <v>86</v>
      </c>
      <c r="E23" s="5" t="s">
        <v>755</v>
      </c>
      <c r="F23" s="5" t="s">
        <v>697</v>
      </c>
      <c r="G23" s="16" t="s">
        <v>84</v>
      </c>
      <c r="H23" s="5" t="s">
        <v>779</v>
      </c>
      <c r="I23" s="5" t="s">
        <v>780</v>
      </c>
      <c r="J23" s="15" t="s">
        <v>700</v>
      </c>
      <c r="K23" s="52" t="n">
        <v>0</v>
      </c>
      <c r="L23" s="5"/>
    </row>
    <row r="24" customFormat="false" ht="21.75" hidden="false" customHeight="true" outlineLevel="0" collapsed="false">
      <c r="A24" s="8" t="s">
        <v>781</v>
      </c>
      <c r="B24" s="8" t="s">
        <v>768</v>
      </c>
      <c r="C24" s="8" t="s">
        <v>782</v>
      </c>
      <c r="D24" s="8" t="s">
        <v>86</v>
      </c>
      <c r="E24" s="8" t="s">
        <v>755</v>
      </c>
      <c r="F24" s="8" t="s">
        <v>697</v>
      </c>
      <c r="G24" s="16" t="s">
        <v>84</v>
      </c>
      <c r="H24" s="8" t="s">
        <v>783</v>
      </c>
      <c r="I24" s="8" t="s">
        <v>784</v>
      </c>
      <c r="J24" s="17" t="s">
        <v>700</v>
      </c>
      <c r="K24" s="53" t="n">
        <v>0</v>
      </c>
      <c r="L24" s="8"/>
    </row>
    <row r="25" customFormat="false" ht="21.75" hidden="false" customHeight="true" outlineLevel="0" collapsed="false">
      <c r="A25" s="5" t="s">
        <v>785</v>
      </c>
      <c r="B25" s="5" t="s">
        <v>768</v>
      </c>
      <c r="C25" s="5" t="s">
        <v>786</v>
      </c>
      <c r="D25" s="5" t="s">
        <v>86</v>
      </c>
      <c r="E25" s="5" t="s">
        <v>755</v>
      </c>
      <c r="F25" s="5" t="s">
        <v>787</v>
      </c>
      <c r="G25" s="16" t="s">
        <v>84</v>
      </c>
      <c r="H25" s="5" t="s">
        <v>788</v>
      </c>
      <c r="I25" s="5" t="s">
        <v>789</v>
      </c>
      <c r="J25" s="15" t="s">
        <v>700</v>
      </c>
      <c r="K25" s="52" t="n">
        <v>0</v>
      </c>
      <c r="L25" s="5"/>
    </row>
    <row r="26" customFormat="false" ht="21.75" hidden="false" customHeight="true" outlineLevel="0" collapsed="false">
      <c r="A26" s="8" t="s">
        <v>790</v>
      </c>
      <c r="B26" s="8" t="s">
        <v>768</v>
      </c>
      <c r="C26" s="8" t="s">
        <v>791</v>
      </c>
      <c r="D26" s="8" t="s">
        <v>86</v>
      </c>
      <c r="E26" s="8" t="s">
        <v>792</v>
      </c>
      <c r="F26" s="8" t="s">
        <v>697</v>
      </c>
      <c r="G26" s="16" t="s">
        <v>84</v>
      </c>
      <c r="H26" s="8" t="s">
        <v>793</v>
      </c>
      <c r="I26" s="8" t="s">
        <v>794</v>
      </c>
      <c r="J26" s="17" t="s">
        <v>700</v>
      </c>
      <c r="K26" s="53" t="n">
        <v>0</v>
      </c>
      <c r="L26" s="8"/>
    </row>
    <row r="27" customFormat="false" ht="15" hidden="false" customHeight="true" outlineLevel="0" collapsed="false">
      <c r="A27" s="5" t="s">
        <v>795</v>
      </c>
      <c r="B27" s="5" t="s">
        <v>768</v>
      </c>
      <c r="C27" s="5" t="s">
        <v>796</v>
      </c>
      <c r="D27" s="5" t="s">
        <v>86</v>
      </c>
      <c r="E27" s="5" t="s">
        <v>792</v>
      </c>
      <c r="F27" s="5" t="s">
        <v>697</v>
      </c>
      <c r="G27" s="16" t="s">
        <v>84</v>
      </c>
      <c r="H27" s="5" t="s">
        <v>797</v>
      </c>
      <c r="I27" s="5" t="s">
        <v>798</v>
      </c>
      <c r="J27" s="15" t="s">
        <v>700</v>
      </c>
      <c r="K27" s="52" t="n">
        <v>0</v>
      </c>
      <c r="L27" s="5"/>
    </row>
    <row r="28" customFormat="false" ht="21.75" hidden="false" customHeight="true" outlineLevel="0" collapsed="false">
      <c r="A28" s="8" t="s">
        <v>799</v>
      </c>
      <c r="B28" s="8" t="s">
        <v>768</v>
      </c>
      <c r="C28" s="8" t="s">
        <v>800</v>
      </c>
      <c r="D28" s="8" t="s">
        <v>86</v>
      </c>
      <c r="E28" s="8" t="s">
        <v>792</v>
      </c>
      <c r="F28" s="8" t="s">
        <v>718</v>
      </c>
      <c r="G28" s="16" t="s">
        <v>84</v>
      </c>
      <c r="H28" s="8" t="s">
        <v>801</v>
      </c>
      <c r="I28" s="8" t="s">
        <v>802</v>
      </c>
      <c r="J28" s="17" t="s">
        <v>700</v>
      </c>
      <c r="K28" s="53" t="n">
        <v>0</v>
      </c>
      <c r="L28" s="8" t="s">
        <v>803</v>
      </c>
    </row>
    <row r="29" customFormat="false" ht="15" hidden="false" customHeight="true" outlineLevel="0" collapsed="false">
      <c r="A29" s="51" t="s">
        <v>804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customFormat="false" ht="21.75" hidden="false" customHeight="true" outlineLevel="0" collapsed="false">
      <c r="A30" s="5" t="s">
        <v>805</v>
      </c>
      <c r="B30" s="5" t="s">
        <v>806</v>
      </c>
      <c r="C30" s="5" t="s">
        <v>807</v>
      </c>
      <c r="D30" s="5" t="s">
        <v>77</v>
      </c>
      <c r="E30" s="5" t="s">
        <v>724</v>
      </c>
      <c r="F30" s="5" t="s">
        <v>697</v>
      </c>
      <c r="G30" s="16" t="s">
        <v>84</v>
      </c>
      <c r="H30" s="5" t="s">
        <v>808</v>
      </c>
      <c r="I30" s="5" t="s">
        <v>809</v>
      </c>
      <c r="J30" s="15" t="s">
        <v>700</v>
      </c>
      <c r="K30" s="52" t="n">
        <v>0</v>
      </c>
      <c r="L30" s="5"/>
    </row>
    <row r="31" customFormat="false" ht="15" hidden="false" customHeight="true" outlineLevel="0" collapsed="false">
      <c r="A31" s="8" t="s">
        <v>810</v>
      </c>
      <c r="B31" s="8" t="s">
        <v>806</v>
      </c>
      <c r="C31" s="8" t="s">
        <v>811</v>
      </c>
      <c r="D31" s="8" t="s">
        <v>77</v>
      </c>
      <c r="E31" s="8" t="s">
        <v>755</v>
      </c>
      <c r="F31" s="8" t="s">
        <v>697</v>
      </c>
      <c r="G31" s="16" t="s">
        <v>84</v>
      </c>
      <c r="H31" s="8" t="s">
        <v>812</v>
      </c>
      <c r="I31" s="8" t="s">
        <v>813</v>
      </c>
      <c r="J31" s="17" t="s">
        <v>700</v>
      </c>
      <c r="K31" s="53" t="n">
        <v>0</v>
      </c>
      <c r="L31" s="8" t="s">
        <v>814</v>
      </c>
    </row>
    <row r="32" customFormat="false" ht="21.75" hidden="false" customHeight="true" outlineLevel="0" collapsed="false">
      <c r="A32" s="5" t="s">
        <v>815</v>
      </c>
      <c r="B32" s="5" t="s">
        <v>806</v>
      </c>
      <c r="C32" s="5" t="s">
        <v>816</v>
      </c>
      <c r="D32" s="5" t="s">
        <v>77</v>
      </c>
      <c r="E32" s="5" t="s">
        <v>817</v>
      </c>
      <c r="F32" s="5" t="s">
        <v>697</v>
      </c>
      <c r="G32" s="16" t="s">
        <v>84</v>
      </c>
      <c r="H32" s="5" t="s">
        <v>818</v>
      </c>
      <c r="I32" s="5" t="s">
        <v>813</v>
      </c>
      <c r="J32" s="15" t="s">
        <v>700</v>
      </c>
      <c r="K32" s="52" t="n">
        <v>0</v>
      </c>
      <c r="L32" s="5"/>
    </row>
    <row r="33" customFormat="false" ht="21.75" hidden="false" customHeight="true" outlineLevel="0" collapsed="false">
      <c r="A33" s="8" t="s">
        <v>819</v>
      </c>
      <c r="B33" s="8" t="s">
        <v>806</v>
      </c>
      <c r="C33" s="8" t="s">
        <v>820</v>
      </c>
      <c r="D33" s="8" t="s">
        <v>77</v>
      </c>
      <c r="E33" s="8" t="s">
        <v>821</v>
      </c>
      <c r="F33" s="8" t="s">
        <v>697</v>
      </c>
      <c r="G33" s="16" t="s">
        <v>84</v>
      </c>
      <c r="H33" s="8" t="s">
        <v>822</v>
      </c>
      <c r="I33" s="8" t="s">
        <v>823</v>
      </c>
      <c r="J33" s="17" t="s">
        <v>700</v>
      </c>
      <c r="K33" s="53" t="n">
        <v>0</v>
      </c>
      <c r="L33" s="8"/>
    </row>
    <row r="34" customFormat="false" ht="21.75" hidden="false" customHeight="true" outlineLevel="0" collapsed="false">
      <c r="A34" s="5" t="s">
        <v>824</v>
      </c>
      <c r="B34" s="5" t="s">
        <v>806</v>
      </c>
      <c r="C34" s="5" t="s">
        <v>825</v>
      </c>
      <c r="D34" s="5" t="s">
        <v>77</v>
      </c>
      <c r="E34" s="5" t="s">
        <v>821</v>
      </c>
      <c r="F34" s="5" t="s">
        <v>697</v>
      </c>
      <c r="G34" s="16" t="s">
        <v>84</v>
      </c>
      <c r="H34" s="5" t="s">
        <v>826</v>
      </c>
      <c r="I34" s="5" t="s">
        <v>827</v>
      </c>
      <c r="J34" s="15" t="s">
        <v>700</v>
      </c>
      <c r="K34" s="52" t="n">
        <v>0</v>
      </c>
      <c r="L34" s="5"/>
    </row>
    <row r="35" customFormat="false" ht="21.75" hidden="false" customHeight="true" outlineLevel="0" collapsed="false">
      <c r="A35" s="8" t="s">
        <v>828</v>
      </c>
      <c r="B35" s="8" t="s">
        <v>806</v>
      </c>
      <c r="C35" s="8" t="s">
        <v>829</v>
      </c>
      <c r="D35" s="8" t="s">
        <v>77</v>
      </c>
      <c r="E35" s="8" t="s">
        <v>817</v>
      </c>
      <c r="F35" s="8" t="s">
        <v>697</v>
      </c>
      <c r="G35" s="16" t="s">
        <v>84</v>
      </c>
      <c r="H35" s="8" t="s">
        <v>830</v>
      </c>
      <c r="I35" s="8" t="s">
        <v>831</v>
      </c>
      <c r="J35" s="17" t="s">
        <v>700</v>
      </c>
      <c r="K35" s="53" t="n">
        <v>0</v>
      </c>
      <c r="L35" s="8"/>
    </row>
    <row r="36" customFormat="false" ht="21.75" hidden="false" customHeight="true" outlineLevel="0" collapsed="false">
      <c r="A36" s="5" t="s">
        <v>832</v>
      </c>
      <c r="B36" s="5" t="s">
        <v>806</v>
      </c>
      <c r="C36" s="5" t="s">
        <v>833</v>
      </c>
      <c r="D36" s="5" t="s">
        <v>77</v>
      </c>
      <c r="E36" s="5" t="s">
        <v>834</v>
      </c>
      <c r="F36" s="5" t="s">
        <v>697</v>
      </c>
      <c r="G36" s="16" t="s">
        <v>84</v>
      </c>
      <c r="H36" s="5" t="s">
        <v>835</v>
      </c>
      <c r="I36" s="5" t="s">
        <v>836</v>
      </c>
      <c r="J36" s="15" t="s">
        <v>700</v>
      </c>
      <c r="K36" s="52" t="n">
        <v>0</v>
      </c>
      <c r="L36" s="5"/>
    </row>
    <row r="37" customFormat="false" ht="15" hidden="false" customHeight="true" outlineLevel="0" collapsed="false">
      <c r="A37" s="51" t="s">
        <v>837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21.75" hidden="false" customHeight="true" outlineLevel="0" collapsed="false">
      <c r="A38" s="5" t="s">
        <v>838</v>
      </c>
      <c r="B38" s="5" t="s">
        <v>839</v>
      </c>
      <c r="C38" s="5" t="s">
        <v>840</v>
      </c>
      <c r="D38" s="5" t="s">
        <v>841</v>
      </c>
      <c r="E38" s="5" t="s">
        <v>842</v>
      </c>
      <c r="F38" s="5" t="s">
        <v>697</v>
      </c>
      <c r="G38" s="16" t="s">
        <v>84</v>
      </c>
      <c r="H38" s="5" t="s">
        <v>843</v>
      </c>
      <c r="I38" s="5" t="s">
        <v>844</v>
      </c>
      <c r="J38" s="15" t="s">
        <v>700</v>
      </c>
      <c r="K38" s="52" t="n">
        <v>0</v>
      </c>
      <c r="L38" s="5" t="s">
        <v>845</v>
      </c>
    </row>
    <row r="39" customFormat="false" ht="21.75" hidden="false" customHeight="true" outlineLevel="0" collapsed="false">
      <c r="A39" s="8" t="s">
        <v>846</v>
      </c>
      <c r="B39" s="8" t="s">
        <v>839</v>
      </c>
      <c r="C39" s="8" t="s">
        <v>847</v>
      </c>
      <c r="D39" s="8" t="s">
        <v>77</v>
      </c>
      <c r="E39" s="8" t="s">
        <v>834</v>
      </c>
      <c r="F39" s="8" t="s">
        <v>697</v>
      </c>
      <c r="G39" s="16" t="s">
        <v>84</v>
      </c>
      <c r="H39" s="8" t="s">
        <v>848</v>
      </c>
      <c r="I39" s="8" t="s">
        <v>849</v>
      </c>
      <c r="J39" s="17" t="s">
        <v>700</v>
      </c>
      <c r="K39" s="53" t="n">
        <v>0</v>
      </c>
      <c r="L39" s="8"/>
    </row>
    <row r="40" customFormat="false" ht="21.75" hidden="false" customHeight="true" outlineLevel="0" collapsed="false">
      <c r="A40" s="5" t="s">
        <v>850</v>
      </c>
      <c r="B40" s="5" t="s">
        <v>839</v>
      </c>
      <c r="C40" s="5" t="s">
        <v>851</v>
      </c>
      <c r="D40" s="5" t="s">
        <v>77</v>
      </c>
      <c r="E40" s="5" t="s">
        <v>852</v>
      </c>
      <c r="F40" s="5" t="s">
        <v>697</v>
      </c>
      <c r="G40" s="16" t="s">
        <v>84</v>
      </c>
      <c r="H40" s="5" t="s">
        <v>853</v>
      </c>
      <c r="I40" s="5" t="s">
        <v>854</v>
      </c>
      <c r="J40" s="15" t="s">
        <v>700</v>
      </c>
      <c r="K40" s="52" t="n">
        <v>0</v>
      </c>
      <c r="L40" s="5"/>
    </row>
    <row r="41" customFormat="false" ht="21.75" hidden="false" customHeight="true" outlineLevel="0" collapsed="false">
      <c r="A41" s="8" t="s">
        <v>855</v>
      </c>
      <c r="B41" s="8" t="s">
        <v>839</v>
      </c>
      <c r="C41" s="8" t="s">
        <v>856</v>
      </c>
      <c r="D41" s="8" t="s">
        <v>77</v>
      </c>
      <c r="E41" s="8" t="s">
        <v>834</v>
      </c>
      <c r="F41" s="8" t="s">
        <v>697</v>
      </c>
      <c r="G41" s="16" t="s">
        <v>84</v>
      </c>
      <c r="H41" s="8" t="s">
        <v>857</v>
      </c>
      <c r="I41" s="8" t="s">
        <v>858</v>
      </c>
      <c r="J41" s="17" t="s">
        <v>700</v>
      </c>
      <c r="K41" s="53" t="n">
        <v>0</v>
      </c>
      <c r="L41" s="8"/>
    </row>
    <row r="42" customFormat="false" ht="21.75" hidden="false" customHeight="true" outlineLevel="0" collapsed="false">
      <c r="A42" s="5" t="s">
        <v>859</v>
      </c>
      <c r="B42" s="5" t="s">
        <v>839</v>
      </c>
      <c r="C42" s="5" t="s">
        <v>860</v>
      </c>
      <c r="D42" s="5" t="s">
        <v>77</v>
      </c>
      <c r="E42" s="5" t="s">
        <v>821</v>
      </c>
      <c r="F42" s="5" t="s">
        <v>697</v>
      </c>
      <c r="G42" s="16" t="s">
        <v>84</v>
      </c>
      <c r="H42" s="5" t="s">
        <v>861</v>
      </c>
      <c r="I42" s="5" t="s">
        <v>862</v>
      </c>
      <c r="J42" s="15" t="s">
        <v>700</v>
      </c>
      <c r="K42" s="52" t="n">
        <v>0</v>
      </c>
      <c r="L42" s="5"/>
    </row>
    <row r="43" customFormat="false" ht="21.75" hidden="false" customHeight="true" outlineLevel="0" collapsed="false">
      <c r="A43" s="8" t="s">
        <v>863</v>
      </c>
      <c r="B43" s="8" t="s">
        <v>839</v>
      </c>
      <c r="C43" s="8" t="s">
        <v>864</v>
      </c>
      <c r="D43" s="8" t="s">
        <v>77</v>
      </c>
      <c r="E43" s="8" t="s">
        <v>865</v>
      </c>
      <c r="F43" s="8" t="s">
        <v>718</v>
      </c>
      <c r="G43" s="16" t="s">
        <v>84</v>
      </c>
      <c r="H43" s="8" t="s">
        <v>866</v>
      </c>
      <c r="I43" s="8" t="s">
        <v>867</v>
      </c>
      <c r="J43" s="17" t="s">
        <v>700</v>
      </c>
      <c r="K43" s="53" t="n">
        <v>0</v>
      </c>
      <c r="L43" s="8" t="s">
        <v>721</v>
      </c>
    </row>
    <row r="44" customFormat="false" ht="21.75" hidden="false" customHeight="true" outlineLevel="0" collapsed="false">
      <c r="A44" s="5" t="s">
        <v>868</v>
      </c>
      <c r="B44" s="5" t="s">
        <v>839</v>
      </c>
      <c r="C44" s="5" t="s">
        <v>869</v>
      </c>
      <c r="D44" s="5" t="s">
        <v>77</v>
      </c>
      <c r="E44" s="5" t="s">
        <v>865</v>
      </c>
      <c r="F44" s="5" t="s">
        <v>718</v>
      </c>
      <c r="G44" s="16" t="s">
        <v>84</v>
      </c>
      <c r="H44" s="5" t="s">
        <v>870</v>
      </c>
      <c r="I44" s="5" t="s">
        <v>871</v>
      </c>
      <c r="J44" s="15" t="s">
        <v>700</v>
      </c>
      <c r="K44" s="52" t="n">
        <v>0</v>
      </c>
      <c r="L44" s="5"/>
    </row>
    <row r="45" customFormat="false" ht="15" hidden="false" customHeight="true" outlineLevel="0" collapsed="false">
      <c r="A45" s="51" t="s">
        <v>872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</row>
    <row r="46" customFormat="false" ht="15" hidden="false" customHeight="true" outlineLevel="0" collapsed="false">
      <c r="A46" s="5" t="s">
        <v>873</v>
      </c>
      <c r="B46" s="5" t="s">
        <v>874</v>
      </c>
      <c r="C46" s="5" t="s">
        <v>875</v>
      </c>
      <c r="D46" s="5" t="s">
        <v>77</v>
      </c>
      <c r="E46" s="5" t="s">
        <v>876</v>
      </c>
      <c r="F46" s="5" t="s">
        <v>787</v>
      </c>
      <c r="G46" s="16" t="s">
        <v>84</v>
      </c>
      <c r="H46" s="5" t="s">
        <v>877</v>
      </c>
      <c r="I46" s="5" t="s">
        <v>878</v>
      </c>
      <c r="J46" s="15" t="s">
        <v>700</v>
      </c>
      <c r="K46" s="52" t="n">
        <v>0</v>
      </c>
      <c r="L46" s="5"/>
    </row>
    <row r="47" customFormat="false" ht="15" hidden="false" customHeight="true" outlineLevel="0" collapsed="false">
      <c r="A47" s="8" t="s">
        <v>879</v>
      </c>
      <c r="B47" s="8" t="s">
        <v>874</v>
      </c>
      <c r="C47" s="8" t="s">
        <v>880</v>
      </c>
      <c r="D47" s="8" t="s">
        <v>77</v>
      </c>
      <c r="E47" s="8" t="s">
        <v>881</v>
      </c>
      <c r="F47" s="8" t="s">
        <v>787</v>
      </c>
      <c r="G47" s="16" t="s">
        <v>84</v>
      </c>
      <c r="H47" s="8" t="s">
        <v>882</v>
      </c>
      <c r="I47" s="8" t="s">
        <v>883</v>
      </c>
      <c r="J47" s="17" t="s">
        <v>700</v>
      </c>
      <c r="K47" s="53" t="n">
        <v>0</v>
      </c>
      <c r="L47" s="8"/>
    </row>
    <row r="48" customFormat="false" ht="21.75" hidden="false" customHeight="true" outlineLevel="0" collapsed="false">
      <c r="A48" s="5" t="s">
        <v>884</v>
      </c>
      <c r="B48" s="5" t="s">
        <v>874</v>
      </c>
      <c r="C48" s="5" t="s">
        <v>885</v>
      </c>
      <c r="D48" s="5" t="s">
        <v>77</v>
      </c>
      <c r="E48" s="5" t="s">
        <v>886</v>
      </c>
      <c r="F48" s="5" t="s">
        <v>787</v>
      </c>
      <c r="G48" s="16" t="s">
        <v>84</v>
      </c>
      <c r="H48" s="5" t="s">
        <v>887</v>
      </c>
      <c r="I48" s="5" t="s">
        <v>888</v>
      </c>
      <c r="J48" s="15" t="s">
        <v>700</v>
      </c>
      <c r="K48" s="52" t="n">
        <v>0</v>
      </c>
      <c r="L48" s="5"/>
    </row>
    <row r="49" customFormat="false" ht="21.75" hidden="false" customHeight="true" outlineLevel="0" collapsed="false">
      <c r="A49" s="8" t="s">
        <v>889</v>
      </c>
      <c r="B49" s="8" t="s">
        <v>874</v>
      </c>
      <c r="C49" s="8" t="s">
        <v>890</v>
      </c>
      <c r="D49" s="8" t="s">
        <v>77</v>
      </c>
      <c r="E49" s="8" t="s">
        <v>886</v>
      </c>
      <c r="F49" s="8" t="s">
        <v>787</v>
      </c>
      <c r="G49" s="16" t="s">
        <v>84</v>
      </c>
      <c r="H49" s="8" t="s">
        <v>891</v>
      </c>
      <c r="I49" s="8" t="s">
        <v>892</v>
      </c>
      <c r="J49" s="17" t="s">
        <v>700</v>
      </c>
      <c r="K49" s="53" t="n">
        <v>0</v>
      </c>
      <c r="L49" s="8" t="s">
        <v>893</v>
      </c>
    </row>
    <row r="50" customFormat="false" ht="15" hidden="false" customHeight="true" outlineLevel="0" collapsed="false">
      <c r="A50" s="5" t="s">
        <v>894</v>
      </c>
      <c r="B50" s="5" t="s">
        <v>874</v>
      </c>
      <c r="C50" s="5" t="s">
        <v>895</v>
      </c>
      <c r="D50" s="5" t="s">
        <v>77</v>
      </c>
      <c r="E50" s="5" t="s">
        <v>886</v>
      </c>
      <c r="F50" s="5" t="s">
        <v>697</v>
      </c>
      <c r="G50" s="16" t="s">
        <v>84</v>
      </c>
      <c r="H50" s="5" t="s">
        <v>896</v>
      </c>
      <c r="I50" s="5" t="s">
        <v>897</v>
      </c>
      <c r="J50" s="15" t="s">
        <v>700</v>
      </c>
      <c r="K50" s="52" t="n">
        <v>0</v>
      </c>
      <c r="L50" s="5"/>
    </row>
    <row r="51" customFormat="false" ht="15" hidden="false" customHeight="true" outlineLevel="0" collapsed="false">
      <c r="A51" s="51" t="s">
        <v>898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</row>
    <row r="52" customFormat="false" ht="21.75" hidden="false" customHeight="true" outlineLevel="0" collapsed="false">
      <c r="A52" s="5" t="s">
        <v>899</v>
      </c>
      <c r="B52" s="5" t="s">
        <v>900</v>
      </c>
      <c r="C52" s="5" t="s">
        <v>901</v>
      </c>
      <c r="D52" s="5" t="s">
        <v>77</v>
      </c>
      <c r="E52" s="5" t="s">
        <v>755</v>
      </c>
      <c r="F52" s="5" t="s">
        <v>697</v>
      </c>
      <c r="G52" s="16" t="s">
        <v>84</v>
      </c>
      <c r="H52" s="5" t="s">
        <v>902</v>
      </c>
      <c r="I52" s="5" t="s">
        <v>903</v>
      </c>
      <c r="J52" s="15" t="s">
        <v>700</v>
      </c>
      <c r="K52" s="52" t="n">
        <v>0</v>
      </c>
      <c r="L52" s="5"/>
    </row>
    <row r="53" customFormat="false" ht="21.75" hidden="false" customHeight="true" outlineLevel="0" collapsed="false">
      <c r="A53" s="8" t="s">
        <v>904</v>
      </c>
      <c r="B53" s="8" t="s">
        <v>900</v>
      </c>
      <c r="C53" s="8" t="s">
        <v>905</v>
      </c>
      <c r="D53" s="8" t="s">
        <v>77</v>
      </c>
      <c r="E53" s="8" t="s">
        <v>906</v>
      </c>
      <c r="F53" s="8" t="s">
        <v>718</v>
      </c>
      <c r="G53" s="16" t="s">
        <v>84</v>
      </c>
      <c r="H53" s="8" t="s">
        <v>907</v>
      </c>
      <c r="I53" s="8" t="s">
        <v>908</v>
      </c>
      <c r="J53" s="17" t="s">
        <v>700</v>
      </c>
      <c r="K53" s="53" t="n">
        <v>0</v>
      </c>
      <c r="L53" s="8"/>
    </row>
    <row r="54" customFormat="false" ht="21.75" hidden="false" customHeight="true" outlineLevel="0" collapsed="false">
      <c r="A54" s="5" t="s">
        <v>909</v>
      </c>
      <c r="B54" s="5" t="s">
        <v>900</v>
      </c>
      <c r="C54" s="5" t="s">
        <v>910</v>
      </c>
      <c r="D54" s="5" t="s">
        <v>77</v>
      </c>
      <c r="E54" s="5" t="s">
        <v>792</v>
      </c>
      <c r="F54" s="5" t="s">
        <v>718</v>
      </c>
      <c r="G54" s="16" t="s">
        <v>84</v>
      </c>
      <c r="H54" s="5" t="s">
        <v>911</v>
      </c>
      <c r="I54" s="5" t="s">
        <v>912</v>
      </c>
      <c r="J54" s="15" t="s">
        <v>700</v>
      </c>
      <c r="K54" s="52" t="n">
        <v>0</v>
      </c>
      <c r="L54" s="5"/>
    </row>
    <row r="55" customFormat="false" ht="21.75" hidden="false" customHeight="true" outlineLevel="0" collapsed="false">
      <c r="A55" s="8" t="s">
        <v>913</v>
      </c>
      <c r="B55" s="8" t="s">
        <v>900</v>
      </c>
      <c r="C55" s="8" t="s">
        <v>914</v>
      </c>
      <c r="D55" s="8" t="s">
        <v>77</v>
      </c>
      <c r="E55" s="8" t="s">
        <v>821</v>
      </c>
      <c r="F55" s="8" t="s">
        <v>718</v>
      </c>
      <c r="G55" s="16" t="s">
        <v>84</v>
      </c>
      <c r="H55" s="8" t="s">
        <v>915</v>
      </c>
      <c r="I55" s="8" t="s">
        <v>916</v>
      </c>
      <c r="J55" s="17" t="s">
        <v>700</v>
      </c>
      <c r="K55" s="53" t="n">
        <v>0</v>
      </c>
      <c r="L55" s="8"/>
    </row>
    <row r="56" customFormat="false" ht="21.75" hidden="false" customHeight="true" outlineLevel="0" collapsed="false">
      <c r="A56" s="5" t="s">
        <v>917</v>
      </c>
      <c r="B56" s="5" t="s">
        <v>900</v>
      </c>
      <c r="C56" s="5" t="s">
        <v>918</v>
      </c>
      <c r="D56" s="5" t="s">
        <v>77</v>
      </c>
      <c r="E56" s="5" t="s">
        <v>821</v>
      </c>
      <c r="F56" s="5" t="s">
        <v>697</v>
      </c>
      <c r="G56" s="16" t="s">
        <v>84</v>
      </c>
      <c r="H56" s="5" t="s">
        <v>919</v>
      </c>
      <c r="I56" s="5" t="s">
        <v>920</v>
      </c>
      <c r="J56" s="15" t="s">
        <v>700</v>
      </c>
      <c r="K56" s="52" t="n">
        <v>0</v>
      </c>
      <c r="L56" s="5"/>
    </row>
  </sheetData>
  <mergeCells count="8">
    <mergeCell ref="A1:L1"/>
    <mergeCell ref="A4:L4"/>
    <mergeCell ref="A12:L12"/>
    <mergeCell ref="A20:L20"/>
    <mergeCell ref="A29:L29"/>
    <mergeCell ref="A37:L37"/>
    <mergeCell ref="A45:L45"/>
    <mergeCell ref="A51:L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921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922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21.75" hidden="false" customHeight="true" outlineLevel="0" collapsed="false">
      <c r="A5" s="5" t="s">
        <v>923</v>
      </c>
      <c r="B5" s="5" t="s">
        <v>924</v>
      </c>
      <c r="C5" s="5" t="s">
        <v>925</v>
      </c>
      <c r="D5" s="5" t="s">
        <v>77</v>
      </c>
      <c r="E5" s="5" t="s">
        <v>906</v>
      </c>
      <c r="F5" s="5" t="s">
        <v>697</v>
      </c>
      <c r="G5" s="16" t="s">
        <v>84</v>
      </c>
      <c r="H5" s="5" t="s">
        <v>926</v>
      </c>
      <c r="I5" s="5" t="s">
        <v>927</v>
      </c>
      <c r="J5" s="15" t="s">
        <v>928</v>
      </c>
      <c r="K5" s="52" t="n">
        <v>0</v>
      </c>
      <c r="L5" s="5"/>
    </row>
    <row r="6" customFormat="false" ht="21.75" hidden="false" customHeight="true" outlineLevel="0" collapsed="false">
      <c r="A6" s="8" t="s">
        <v>929</v>
      </c>
      <c r="B6" s="8" t="s">
        <v>924</v>
      </c>
      <c r="C6" s="8" t="s">
        <v>930</v>
      </c>
      <c r="D6" s="8" t="s">
        <v>77</v>
      </c>
      <c r="E6" s="8" t="s">
        <v>792</v>
      </c>
      <c r="F6" s="8" t="s">
        <v>787</v>
      </c>
      <c r="G6" s="54" t="s">
        <v>931</v>
      </c>
      <c r="H6" s="8" t="s">
        <v>932</v>
      </c>
      <c r="I6" s="8" t="s">
        <v>933</v>
      </c>
      <c r="J6" s="17" t="s">
        <v>934</v>
      </c>
      <c r="K6" s="53" t="n">
        <v>0</v>
      </c>
      <c r="L6" s="8"/>
    </row>
    <row r="7" customFormat="false" ht="21.75" hidden="false" customHeight="true" outlineLevel="0" collapsed="false">
      <c r="A7" s="5" t="s">
        <v>935</v>
      </c>
      <c r="B7" s="5" t="s">
        <v>924</v>
      </c>
      <c r="C7" s="5" t="s">
        <v>936</v>
      </c>
      <c r="D7" s="5" t="s">
        <v>77</v>
      </c>
      <c r="E7" s="5" t="s">
        <v>792</v>
      </c>
      <c r="F7" s="5" t="s">
        <v>697</v>
      </c>
      <c r="G7" s="54" t="s">
        <v>931</v>
      </c>
      <c r="H7" s="5" t="s">
        <v>937</v>
      </c>
      <c r="I7" s="5" t="s">
        <v>938</v>
      </c>
      <c r="J7" s="15" t="s">
        <v>939</v>
      </c>
      <c r="K7" s="52" t="n">
        <v>0</v>
      </c>
      <c r="L7" s="5"/>
    </row>
    <row r="8" customFormat="false" ht="15" hidden="false" customHeight="true" outlineLevel="0" collapsed="false">
      <c r="A8" s="8" t="s">
        <v>940</v>
      </c>
      <c r="B8" s="8" t="s">
        <v>924</v>
      </c>
      <c r="C8" s="8" t="s">
        <v>941</v>
      </c>
      <c r="D8" s="8" t="s">
        <v>841</v>
      </c>
      <c r="E8" s="8" t="s">
        <v>821</v>
      </c>
      <c r="F8" s="8" t="s">
        <v>697</v>
      </c>
      <c r="G8" s="54" t="s">
        <v>931</v>
      </c>
      <c r="H8" s="8" t="s">
        <v>942</v>
      </c>
      <c r="I8" s="8" t="s">
        <v>943</v>
      </c>
      <c r="J8" s="17" t="s">
        <v>944</v>
      </c>
      <c r="K8" s="53" t="n">
        <v>0</v>
      </c>
      <c r="L8" s="8" t="s">
        <v>945</v>
      </c>
    </row>
    <row r="9" customFormat="false" ht="15" hidden="false" customHeight="true" outlineLevel="0" collapsed="false">
      <c r="A9" s="5" t="s">
        <v>946</v>
      </c>
      <c r="B9" s="5" t="s">
        <v>924</v>
      </c>
      <c r="C9" s="5" t="s">
        <v>947</v>
      </c>
      <c r="D9" s="5" t="s">
        <v>841</v>
      </c>
      <c r="E9" s="5" t="s">
        <v>821</v>
      </c>
      <c r="F9" s="5" t="s">
        <v>697</v>
      </c>
      <c r="G9" s="54" t="s">
        <v>931</v>
      </c>
      <c r="H9" s="5" t="s">
        <v>948</v>
      </c>
      <c r="I9" s="5" t="s">
        <v>949</v>
      </c>
      <c r="J9" s="15" t="s">
        <v>950</v>
      </c>
      <c r="K9" s="52" t="n">
        <v>0</v>
      </c>
      <c r="L9" s="5"/>
    </row>
    <row r="10" customFormat="false" ht="15" hidden="false" customHeight="true" outlineLevel="0" collapsed="false">
      <c r="A10" s="8" t="s">
        <v>951</v>
      </c>
      <c r="B10" s="8" t="s">
        <v>924</v>
      </c>
      <c r="C10" s="8" t="s">
        <v>952</v>
      </c>
      <c r="D10" s="8" t="s">
        <v>841</v>
      </c>
      <c r="E10" s="8" t="s">
        <v>821</v>
      </c>
      <c r="F10" s="8" t="s">
        <v>718</v>
      </c>
      <c r="G10" s="54" t="s">
        <v>931</v>
      </c>
      <c r="H10" s="8" t="s">
        <v>953</v>
      </c>
      <c r="I10" s="8" t="s">
        <v>954</v>
      </c>
      <c r="J10" s="17" t="s">
        <v>955</v>
      </c>
      <c r="K10" s="53" t="n">
        <v>0</v>
      </c>
      <c r="L10" s="8"/>
    </row>
    <row r="11" customFormat="false" ht="15" hidden="false" customHeight="true" outlineLevel="0" collapsed="false">
      <c r="A11" s="5" t="s">
        <v>956</v>
      </c>
      <c r="B11" s="5" t="s">
        <v>924</v>
      </c>
      <c r="C11" s="5" t="s">
        <v>957</v>
      </c>
      <c r="D11" s="5" t="s">
        <v>77</v>
      </c>
      <c r="E11" s="5" t="s">
        <v>821</v>
      </c>
      <c r="F11" s="5" t="s">
        <v>697</v>
      </c>
      <c r="G11" s="16" t="s">
        <v>84</v>
      </c>
      <c r="H11" s="5" t="s">
        <v>958</v>
      </c>
      <c r="I11" s="5" t="s">
        <v>959</v>
      </c>
      <c r="J11" s="15" t="s">
        <v>960</v>
      </c>
      <c r="K11" s="52" t="n">
        <v>0</v>
      </c>
      <c r="L11" s="5"/>
    </row>
    <row r="12" customFormat="false" ht="21.75" hidden="false" customHeight="true" outlineLevel="0" collapsed="false">
      <c r="A12" s="8" t="s">
        <v>961</v>
      </c>
      <c r="B12" s="8" t="s">
        <v>924</v>
      </c>
      <c r="C12" s="8" t="s">
        <v>962</v>
      </c>
      <c r="D12" s="8" t="s">
        <v>841</v>
      </c>
      <c r="E12" s="8" t="s">
        <v>834</v>
      </c>
      <c r="F12" s="8" t="s">
        <v>697</v>
      </c>
      <c r="G12" s="54" t="s">
        <v>931</v>
      </c>
      <c r="H12" s="8" t="s">
        <v>963</v>
      </c>
      <c r="I12" s="8" t="s">
        <v>964</v>
      </c>
      <c r="J12" s="17" t="s">
        <v>965</v>
      </c>
      <c r="K12" s="53" t="n">
        <v>0</v>
      </c>
      <c r="L12" s="8"/>
    </row>
    <row r="13" customFormat="false" ht="21.75" hidden="false" customHeight="true" outlineLevel="0" collapsed="false">
      <c r="A13" s="5" t="s">
        <v>966</v>
      </c>
      <c r="B13" s="5" t="s">
        <v>924</v>
      </c>
      <c r="C13" s="5" t="s">
        <v>967</v>
      </c>
      <c r="D13" s="5" t="s">
        <v>77</v>
      </c>
      <c r="E13" s="5" t="s">
        <v>834</v>
      </c>
      <c r="F13" s="5" t="s">
        <v>718</v>
      </c>
      <c r="G13" s="54" t="s">
        <v>931</v>
      </c>
      <c r="H13" s="5" t="s">
        <v>968</v>
      </c>
      <c r="I13" s="5" t="s">
        <v>969</v>
      </c>
      <c r="J13" s="15" t="s">
        <v>970</v>
      </c>
      <c r="K13" s="52" t="n">
        <v>0</v>
      </c>
      <c r="L13" s="5"/>
    </row>
    <row r="14" customFormat="false" ht="15" hidden="false" customHeight="true" outlineLevel="0" collapsed="false">
      <c r="A14" s="51" t="s">
        <v>971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</row>
    <row r="15" customFormat="false" ht="21.75" hidden="false" customHeight="true" outlineLevel="0" collapsed="false">
      <c r="A15" s="5" t="s">
        <v>972</v>
      </c>
      <c r="B15" s="5" t="s">
        <v>973</v>
      </c>
      <c r="C15" s="5" t="s">
        <v>974</v>
      </c>
      <c r="D15" s="5" t="s">
        <v>77</v>
      </c>
      <c r="E15" s="5" t="s">
        <v>842</v>
      </c>
      <c r="F15" s="5" t="s">
        <v>697</v>
      </c>
      <c r="G15" s="54" t="s">
        <v>931</v>
      </c>
      <c r="H15" s="5" t="s">
        <v>975</v>
      </c>
      <c r="I15" s="5" t="s">
        <v>976</v>
      </c>
      <c r="J15" s="15" t="s">
        <v>977</v>
      </c>
      <c r="K15" s="52" t="n">
        <v>0</v>
      </c>
      <c r="L15" s="5"/>
    </row>
    <row r="16" customFormat="false" ht="21.75" hidden="false" customHeight="true" outlineLevel="0" collapsed="false">
      <c r="A16" s="8" t="s">
        <v>978</v>
      </c>
      <c r="B16" s="8" t="s">
        <v>973</v>
      </c>
      <c r="C16" s="8" t="s">
        <v>979</v>
      </c>
      <c r="D16" s="8" t="s">
        <v>77</v>
      </c>
      <c r="E16" s="8" t="s">
        <v>821</v>
      </c>
      <c r="F16" s="8" t="s">
        <v>697</v>
      </c>
      <c r="G16" s="54" t="s">
        <v>931</v>
      </c>
      <c r="H16" s="8" t="s">
        <v>980</v>
      </c>
      <c r="I16" s="8" t="s">
        <v>981</v>
      </c>
      <c r="J16" s="17" t="s">
        <v>977</v>
      </c>
      <c r="K16" s="53" t="n">
        <v>0</v>
      </c>
      <c r="L16" s="8"/>
    </row>
    <row r="17" customFormat="false" ht="21.75" hidden="false" customHeight="true" outlineLevel="0" collapsed="false">
      <c r="A17" s="5" t="s">
        <v>982</v>
      </c>
      <c r="B17" s="5" t="s">
        <v>973</v>
      </c>
      <c r="C17" s="5" t="s">
        <v>983</v>
      </c>
      <c r="D17" s="5" t="s">
        <v>77</v>
      </c>
      <c r="E17" s="5" t="s">
        <v>852</v>
      </c>
      <c r="F17" s="5" t="s">
        <v>697</v>
      </c>
      <c r="G17" s="54" t="s">
        <v>931</v>
      </c>
      <c r="H17" s="5" t="s">
        <v>984</v>
      </c>
      <c r="I17" s="5" t="s">
        <v>985</v>
      </c>
      <c r="J17" s="15" t="s">
        <v>977</v>
      </c>
      <c r="K17" s="52" t="n">
        <v>0</v>
      </c>
      <c r="L17" s="5"/>
    </row>
    <row r="18" customFormat="false" ht="21.75" hidden="false" customHeight="true" outlineLevel="0" collapsed="false">
      <c r="A18" s="8" t="s">
        <v>986</v>
      </c>
      <c r="B18" s="8" t="s">
        <v>973</v>
      </c>
      <c r="C18" s="8" t="s">
        <v>987</v>
      </c>
      <c r="D18" s="8" t="s">
        <v>77</v>
      </c>
      <c r="E18" s="8" t="s">
        <v>852</v>
      </c>
      <c r="F18" s="8" t="s">
        <v>787</v>
      </c>
      <c r="G18" s="54" t="s">
        <v>931</v>
      </c>
      <c r="H18" s="8" t="s">
        <v>988</v>
      </c>
      <c r="I18" s="8" t="s">
        <v>989</v>
      </c>
      <c r="J18" s="17" t="s">
        <v>977</v>
      </c>
      <c r="K18" s="53" t="n">
        <v>0</v>
      </c>
      <c r="L18" s="8"/>
    </row>
    <row r="19" customFormat="false" ht="15" hidden="false" customHeight="true" outlineLevel="0" collapsed="false">
      <c r="A19" s="5" t="s">
        <v>990</v>
      </c>
      <c r="B19" s="5" t="s">
        <v>973</v>
      </c>
      <c r="C19" s="5" t="s">
        <v>991</v>
      </c>
      <c r="D19" s="5" t="s">
        <v>77</v>
      </c>
      <c r="E19" s="5" t="s">
        <v>852</v>
      </c>
      <c r="F19" s="5" t="s">
        <v>697</v>
      </c>
      <c r="G19" s="54" t="s">
        <v>931</v>
      </c>
      <c r="H19" s="5" t="s">
        <v>992</v>
      </c>
      <c r="I19" s="5" t="s">
        <v>993</v>
      </c>
      <c r="J19" s="15" t="s">
        <v>977</v>
      </c>
      <c r="K19" s="52" t="n">
        <v>0</v>
      </c>
      <c r="L19" s="5"/>
    </row>
    <row r="20" customFormat="false" ht="21.75" hidden="false" customHeight="true" outlineLevel="0" collapsed="false">
      <c r="A20" s="8" t="s">
        <v>994</v>
      </c>
      <c r="B20" s="8" t="s">
        <v>973</v>
      </c>
      <c r="C20" s="8" t="s">
        <v>995</v>
      </c>
      <c r="D20" s="8" t="s">
        <v>77</v>
      </c>
      <c r="E20" s="8" t="s">
        <v>876</v>
      </c>
      <c r="F20" s="8" t="s">
        <v>697</v>
      </c>
      <c r="G20" s="54" t="s">
        <v>931</v>
      </c>
      <c r="H20" s="8" t="s">
        <v>996</v>
      </c>
      <c r="I20" s="8" t="s">
        <v>997</v>
      </c>
      <c r="J20" s="17" t="s">
        <v>977</v>
      </c>
      <c r="K20" s="53" t="n">
        <v>0</v>
      </c>
      <c r="L20" s="8"/>
    </row>
    <row r="21" customFormat="false" ht="21.75" hidden="false" customHeight="true" outlineLevel="0" collapsed="false">
      <c r="A21" s="5" t="s">
        <v>998</v>
      </c>
      <c r="B21" s="5" t="s">
        <v>973</v>
      </c>
      <c r="C21" s="5" t="s">
        <v>999</v>
      </c>
      <c r="D21" s="5" t="s">
        <v>77</v>
      </c>
      <c r="E21" s="5" t="s">
        <v>876</v>
      </c>
      <c r="F21" s="5" t="s">
        <v>697</v>
      </c>
      <c r="G21" s="54" t="s">
        <v>931</v>
      </c>
      <c r="H21" s="5" t="s">
        <v>1000</v>
      </c>
      <c r="I21" s="5" t="s">
        <v>1001</v>
      </c>
      <c r="J21" s="15" t="s">
        <v>977</v>
      </c>
      <c r="K21" s="52" t="n">
        <v>0</v>
      </c>
      <c r="L21" s="5"/>
    </row>
    <row r="22" customFormat="false" ht="15" hidden="false" customHeight="true" outlineLevel="0" collapsed="false">
      <c r="A22" s="8" t="s">
        <v>1002</v>
      </c>
      <c r="B22" s="8" t="s">
        <v>973</v>
      </c>
      <c r="C22" s="8" t="s">
        <v>1003</v>
      </c>
      <c r="D22" s="8" t="s">
        <v>77</v>
      </c>
      <c r="E22" s="8" t="s">
        <v>881</v>
      </c>
      <c r="F22" s="8" t="s">
        <v>697</v>
      </c>
      <c r="G22" s="54" t="s">
        <v>931</v>
      </c>
      <c r="H22" s="8" t="s">
        <v>1004</v>
      </c>
      <c r="I22" s="8" t="s">
        <v>1005</v>
      </c>
      <c r="J22" s="17" t="s">
        <v>977</v>
      </c>
      <c r="K22" s="53" t="n">
        <v>0</v>
      </c>
      <c r="L22" s="8"/>
    </row>
    <row r="23" customFormat="false" ht="21.75" hidden="false" customHeight="true" outlineLevel="0" collapsed="false">
      <c r="A23" s="5" t="s">
        <v>1006</v>
      </c>
      <c r="B23" s="5" t="s">
        <v>973</v>
      </c>
      <c r="C23" s="5" t="s">
        <v>1007</v>
      </c>
      <c r="D23" s="5" t="s">
        <v>77</v>
      </c>
      <c r="E23" s="5" t="s">
        <v>881</v>
      </c>
      <c r="F23" s="5" t="s">
        <v>697</v>
      </c>
      <c r="G23" s="54" t="s">
        <v>931</v>
      </c>
      <c r="H23" s="5" t="s">
        <v>1008</v>
      </c>
      <c r="I23" s="5" t="s">
        <v>1009</v>
      </c>
      <c r="J23" s="15" t="s">
        <v>977</v>
      </c>
      <c r="K23" s="52" t="n">
        <v>0</v>
      </c>
      <c r="L23" s="5"/>
    </row>
    <row r="24" customFormat="false" ht="15" hidden="false" customHeight="true" outlineLevel="0" collapsed="false">
      <c r="A24" s="8" t="s">
        <v>1010</v>
      </c>
      <c r="B24" s="8" t="s">
        <v>973</v>
      </c>
      <c r="C24" s="8" t="s">
        <v>1011</v>
      </c>
      <c r="D24" s="8" t="s">
        <v>77</v>
      </c>
      <c r="E24" s="8" t="s">
        <v>886</v>
      </c>
      <c r="F24" s="8" t="s">
        <v>697</v>
      </c>
      <c r="G24" s="54" t="s">
        <v>931</v>
      </c>
      <c r="H24" s="8" t="s">
        <v>1012</v>
      </c>
      <c r="I24" s="8" t="s">
        <v>1013</v>
      </c>
      <c r="J24" s="17" t="s">
        <v>977</v>
      </c>
      <c r="K24" s="53" t="n">
        <v>0</v>
      </c>
      <c r="L24" s="8"/>
    </row>
    <row r="25" customFormat="false" ht="15" hidden="false" customHeight="true" outlineLevel="0" collapsed="false">
      <c r="A25" s="5" t="s">
        <v>1014</v>
      </c>
      <c r="B25" s="5" t="s">
        <v>973</v>
      </c>
      <c r="C25" s="5" t="s">
        <v>1015</v>
      </c>
      <c r="D25" s="5" t="s">
        <v>77</v>
      </c>
      <c r="E25" s="5" t="s">
        <v>886</v>
      </c>
      <c r="F25" s="5" t="s">
        <v>697</v>
      </c>
      <c r="G25" s="54" t="s">
        <v>931</v>
      </c>
      <c r="H25" s="5" t="s">
        <v>1016</v>
      </c>
      <c r="I25" s="5" t="s">
        <v>1017</v>
      </c>
      <c r="J25" s="15" t="s">
        <v>977</v>
      </c>
      <c r="K25" s="52" t="n">
        <v>0</v>
      </c>
      <c r="L25" s="5" t="s">
        <v>1018</v>
      </c>
    </row>
    <row r="26" customFormat="false" ht="21.75" hidden="false" customHeight="true" outlineLevel="0" collapsed="false">
      <c r="A26" s="8" t="s">
        <v>1019</v>
      </c>
      <c r="B26" s="8" t="s">
        <v>973</v>
      </c>
      <c r="C26" s="8" t="s">
        <v>1020</v>
      </c>
      <c r="D26" s="8" t="s">
        <v>77</v>
      </c>
      <c r="E26" s="8" t="s">
        <v>886</v>
      </c>
      <c r="F26" s="8" t="s">
        <v>718</v>
      </c>
      <c r="G26" s="54" t="s">
        <v>931</v>
      </c>
      <c r="H26" s="8" t="s">
        <v>1021</v>
      </c>
      <c r="I26" s="8" t="s">
        <v>1022</v>
      </c>
      <c r="J26" s="17" t="s">
        <v>977</v>
      </c>
      <c r="K26" s="53" t="n">
        <v>0</v>
      </c>
      <c r="L26" s="8"/>
    </row>
    <row r="27" customFormat="false" ht="15" hidden="false" customHeight="true" outlineLevel="0" collapsed="false">
      <c r="A27" s="51" t="s">
        <v>1023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customFormat="false" ht="15" hidden="false" customHeight="true" outlineLevel="0" collapsed="false">
      <c r="A28" s="5" t="s">
        <v>1024</v>
      </c>
      <c r="B28" s="5" t="s">
        <v>1025</v>
      </c>
      <c r="C28" s="5" t="s">
        <v>1026</v>
      </c>
      <c r="D28" s="5" t="s">
        <v>77</v>
      </c>
      <c r="E28" s="5" t="s">
        <v>792</v>
      </c>
      <c r="F28" s="5" t="s">
        <v>787</v>
      </c>
      <c r="G28" s="54" t="s">
        <v>931</v>
      </c>
      <c r="H28" s="5" t="s">
        <v>1027</v>
      </c>
      <c r="I28" s="5" t="s">
        <v>1028</v>
      </c>
      <c r="J28" s="15" t="s">
        <v>1029</v>
      </c>
      <c r="K28" s="52" t="n">
        <v>0</v>
      </c>
      <c r="L28" s="5" t="s">
        <v>1030</v>
      </c>
    </row>
    <row r="29" customFormat="false" ht="21.75" hidden="false" customHeight="true" outlineLevel="0" collapsed="false">
      <c r="A29" s="8" t="s">
        <v>1031</v>
      </c>
      <c r="B29" s="8" t="s">
        <v>1025</v>
      </c>
      <c r="C29" s="8" t="s">
        <v>1032</v>
      </c>
      <c r="D29" s="8" t="s">
        <v>77</v>
      </c>
      <c r="E29" s="8" t="s">
        <v>842</v>
      </c>
      <c r="F29" s="8" t="s">
        <v>697</v>
      </c>
      <c r="G29" s="54" t="s">
        <v>931</v>
      </c>
      <c r="H29" s="8" t="s">
        <v>1033</v>
      </c>
      <c r="I29" s="8" t="s">
        <v>1034</v>
      </c>
      <c r="J29" s="17" t="s">
        <v>1029</v>
      </c>
      <c r="K29" s="53" t="n">
        <v>0</v>
      </c>
      <c r="L29" s="8"/>
    </row>
    <row r="30" customFormat="false" ht="21.75" hidden="false" customHeight="true" outlineLevel="0" collapsed="false">
      <c r="A30" s="5" t="s">
        <v>1035</v>
      </c>
      <c r="B30" s="5" t="s">
        <v>1025</v>
      </c>
      <c r="C30" s="5" t="s">
        <v>1036</v>
      </c>
      <c r="D30" s="5" t="s">
        <v>77</v>
      </c>
      <c r="E30" s="5" t="s">
        <v>821</v>
      </c>
      <c r="F30" s="5" t="s">
        <v>697</v>
      </c>
      <c r="G30" s="54" t="s">
        <v>931</v>
      </c>
      <c r="H30" s="5" t="s">
        <v>1037</v>
      </c>
      <c r="I30" s="5" t="s">
        <v>1038</v>
      </c>
      <c r="J30" s="15" t="s">
        <v>1029</v>
      </c>
      <c r="K30" s="52" t="n">
        <v>0</v>
      </c>
      <c r="L30" s="5"/>
    </row>
    <row r="31" customFormat="false" ht="15" hidden="false" customHeight="true" outlineLevel="0" collapsed="false">
      <c r="A31" s="8" t="s">
        <v>1039</v>
      </c>
      <c r="B31" s="8" t="s">
        <v>1025</v>
      </c>
      <c r="C31" s="8" t="s">
        <v>1040</v>
      </c>
      <c r="D31" s="8" t="s">
        <v>77</v>
      </c>
      <c r="E31" s="8" t="s">
        <v>821</v>
      </c>
      <c r="F31" s="8" t="s">
        <v>697</v>
      </c>
      <c r="G31" s="54" t="s">
        <v>931</v>
      </c>
      <c r="H31" s="8" t="s">
        <v>1041</v>
      </c>
      <c r="I31" s="8" t="s">
        <v>1042</v>
      </c>
      <c r="J31" s="17" t="s">
        <v>1029</v>
      </c>
      <c r="K31" s="53" t="n">
        <v>0</v>
      </c>
      <c r="L31" s="8"/>
    </row>
    <row r="32" customFormat="false" ht="15" hidden="false" customHeight="true" outlineLevel="0" collapsed="false">
      <c r="A32" s="5" t="s">
        <v>1043</v>
      </c>
      <c r="B32" s="5" t="s">
        <v>1025</v>
      </c>
      <c r="C32" s="5" t="s">
        <v>1044</v>
      </c>
      <c r="D32" s="5" t="s">
        <v>77</v>
      </c>
      <c r="E32" s="5" t="s">
        <v>834</v>
      </c>
      <c r="F32" s="5" t="s">
        <v>697</v>
      </c>
      <c r="G32" s="54" t="s">
        <v>931</v>
      </c>
      <c r="H32" s="5" t="s">
        <v>1045</v>
      </c>
      <c r="I32" s="5" t="s">
        <v>1046</v>
      </c>
      <c r="J32" s="15" t="s">
        <v>1029</v>
      </c>
      <c r="K32" s="52" t="n">
        <v>0</v>
      </c>
      <c r="L32" s="5"/>
    </row>
    <row r="33" customFormat="false" ht="21.75" hidden="false" customHeight="true" outlineLevel="0" collapsed="false">
      <c r="A33" s="8" t="s">
        <v>1047</v>
      </c>
      <c r="B33" s="8" t="s">
        <v>1025</v>
      </c>
      <c r="C33" s="8" t="s">
        <v>1048</v>
      </c>
      <c r="D33" s="8" t="s">
        <v>77</v>
      </c>
      <c r="E33" s="8" t="s">
        <v>852</v>
      </c>
      <c r="F33" s="8" t="s">
        <v>697</v>
      </c>
      <c r="G33" s="54" t="s">
        <v>931</v>
      </c>
      <c r="H33" s="8" t="s">
        <v>1049</v>
      </c>
      <c r="I33" s="8" t="s">
        <v>1050</v>
      </c>
      <c r="J33" s="17" t="s">
        <v>1029</v>
      </c>
      <c r="K33" s="53" t="n">
        <v>0</v>
      </c>
      <c r="L33" s="8"/>
    </row>
    <row r="34" customFormat="false" ht="21.75" hidden="false" customHeight="true" outlineLevel="0" collapsed="false">
      <c r="A34" s="5" t="s">
        <v>1051</v>
      </c>
      <c r="B34" s="5" t="s">
        <v>1025</v>
      </c>
      <c r="C34" s="5" t="s">
        <v>1052</v>
      </c>
      <c r="D34" s="5" t="s">
        <v>77</v>
      </c>
      <c r="E34" s="5" t="s">
        <v>852</v>
      </c>
      <c r="F34" s="5" t="s">
        <v>697</v>
      </c>
      <c r="G34" s="54" t="s">
        <v>931</v>
      </c>
      <c r="H34" s="5" t="s">
        <v>1053</v>
      </c>
      <c r="I34" s="5" t="s">
        <v>1054</v>
      </c>
      <c r="J34" s="15" t="s">
        <v>1029</v>
      </c>
      <c r="K34" s="52" t="n">
        <v>0</v>
      </c>
      <c r="L34" s="5"/>
    </row>
    <row r="35" customFormat="false" ht="15" hidden="false" customHeight="true" outlineLevel="0" collapsed="false">
      <c r="A35" s="51" t="s">
        <v>1055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</row>
    <row r="36" customFormat="false" ht="21.75" hidden="false" customHeight="true" outlineLevel="0" collapsed="false">
      <c r="A36" s="5" t="s">
        <v>1056</v>
      </c>
      <c r="B36" s="5" t="s">
        <v>1057</v>
      </c>
      <c r="C36" s="5" t="s">
        <v>1058</v>
      </c>
      <c r="D36" s="5" t="s">
        <v>77</v>
      </c>
      <c r="E36" s="5" t="s">
        <v>852</v>
      </c>
      <c r="F36" s="5" t="s">
        <v>697</v>
      </c>
      <c r="G36" s="54" t="s">
        <v>931</v>
      </c>
      <c r="H36" s="5" t="s">
        <v>1059</v>
      </c>
      <c r="I36" s="5" t="s">
        <v>1060</v>
      </c>
      <c r="J36" s="15" t="s">
        <v>1061</v>
      </c>
      <c r="K36" s="52" t="n">
        <v>0</v>
      </c>
      <c r="L36" s="5"/>
    </row>
    <row r="37" customFormat="false" ht="15" hidden="false" customHeight="true" outlineLevel="0" collapsed="false">
      <c r="A37" s="8" t="s">
        <v>1062</v>
      </c>
      <c r="B37" s="8" t="s">
        <v>1057</v>
      </c>
      <c r="C37" s="8" t="s">
        <v>1063</v>
      </c>
      <c r="D37" s="8" t="s">
        <v>77</v>
      </c>
      <c r="E37" s="8" t="s">
        <v>1064</v>
      </c>
      <c r="F37" s="8" t="s">
        <v>697</v>
      </c>
      <c r="G37" s="54" t="s">
        <v>931</v>
      </c>
      <c r="H37" s="8" t="s">
        <v>1065</v>
      </c>
      <c r="I37" s="8" t="s">
        <v>1066</v>
      </c>
      <c r="J37" s="17" t="s">
        <v>1061</v>
      </c>
      <c r="K37" s="53" t="n">
        <v>0</v>
      </c>
      <c r="L37" s="8"/>
    </row>
    <row r="38" customFormat="false" ht="21.75" hidden="false" customHeight="true" outlineLevel="0" collapsed="false">
      <c r="A38" s="5" t="s">
        <v>1067</v>
      </c>
      <c r="B38" s="5" t="s">
        <v>1057</v>
      </c>
      <c r="C38" s="5" t="s">
        <v>1068</v>
      </c>
      <c r="D38" s="5" t="s">
        <v>77</v>
      </c>
      <c r="E38" s="5" t="s">
        <v>1064</v>
      </c>
      <c r="F38" s="5" t="s">
        <v>718</v>
      </c>
      <c r="G38" s="54" t="s">
        <v>931</v>
      </c>
      <c r="H38" s="5" t="s">
        <v>1069</v>
      </c>
      <c r="I38" s="5" t="s">
        <v>1070</v>
      </c>
      <c r="J38" s="15" t="s">
        <v>1061</v>
      </c>
      <c r="K38" s="52" t="n">
        <v>0</v>
      </c>
      <c r="L38" s="5"/>
    </row>
    <row r="39" customFormat="false" ht="21.75" hidden="false" customHeight="true" outlineLevel="0" collapsed="false">
      <c r="A39" s="8" t="s">
        <v>1071</v>
      </c>
      <c r="B39" s="8" t="s">
        <v>1057</v>
      </c>
      <c r="C39" s="8" t="s">
        <v>1072</v>
      </c>
      <c r="D39" s="8" t="s">
        <v>77</v>
      </c>
      <c r="E39" s="8" t="s">
        <v>1073</v>
      </c>
      <c r="F39" s="8" t="s">
        <v>697</v>
      </c>
      <c r="G39" s="54" t="s">
        <v>931</v>
      </c>
      <c r="H39" s="8" t="s">
        <v>1074</v>
      </c>
      <c r="I39" s="8" t="s">
        <v>1075</v>
      </c>
      <c r="J39" s="17" t="s">
        <v>1061</v>
      </c>
      <c r="K39" s="53" t="n">
        <v>0</v>
      </c>
      <c r="L39" s="8"/>
    </row>
    <row r="40" customFormat="false" ht="21.75" hidden="false" customHeight="true" outlineLevel="0" collapsed="false">
      <c r="A40" s="5" t="s">
        <v>1076</v>
      </c>
      <c r="B40" s="5" t="s">
        <v>1057</v>
      </c>
      <c r="C40" s="5" t="s">
        <v>1077</v>
      </c>
      <c r="D40" s="5" t="s">
        <v>841</v>
      </c>
      <c r="E40" s="5" t="s">
        <v>1064</v>
      </c>
      <c r="F40" s="5" t="s">
        <v>718</v>
      </c>
      <c r="G40" s="54" t="s">
        <v>931</v>
      </c>
      <c r="H40" s="5" t="s">
        <v>1078</v>
      </c>
      <c r="I40" s="5" t="s">
        <v>1079</v>
      </c>
      <c r="J40" s="15" t="s">
        <v>1061</v>
      </c>
      <c r="K40" s="52" t="n">
        <v>0</v>
      </c>
      <c r="L40" s="5"/>
    </row>
    <row r="41" customFormat="false" ht="21.75" hidden="false" customHeight="true" outlineLevel="0" collapsed="false">
      <c r="A41" s="8" t="s">
        <v>1080</v>
      </c>
      <c r="B41" s="8" t="s">
        <v>1057</v>
      </c>
      <c r="C41" s="8" t="s">
        <v>1081</v>
      </c>
      <c r="D41" s="8" t="s">
        <v>77</v>
      </c>
      <c r="E41" s="8" t="s">
        <v>1082</v>
      </c>
      <c r="F41" s="8" t="s">
        <v>718</v>
      </c>
      <c r="G41" s="54" t="s">
        <v>931</v>
      </c>
      <c r="H41" s="8" t="s">
        <v>1083</v>
      </c>
      <c r="I41" s="8" t="s">
        <v>1084</v>
      </c>
      <c r="J41" s="17" t="s">
        <v>1061</v>
      </c>
      <c r="K41" s="53" t="n">
        <v>0</v>
      </c>
      <c r="L41" s="8"/>
    </row>
    <row r="42" customFormat="false" ht="15" hidden="false" customHeight="true" outlineLevel="0" collapsed="false">
      <c r="A42" s="51" t="s">
        <v>1085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</row>
    <row r="43" customFormat="false" ht="15" hidden="false" customHeight="true" outlineLevel="0" collapsed="false">
      <c r="A43" s="5" t="s">
        <v>1086</v>
      </c>
      <c r="B43" s="5" t="s">
        <v>1087</v>
      </c>
      <c r="C43" s="5" t="s">
        <v>1088</v>
      </c>
      <c r="D43" s="5" t="s">
        <v>77</v>
      </c>
      <c r="E43" s="5" t="s">
        <v>834</v>
      </c>
      <c r="F43" s="5" t="s">
        <v>697</v>
      </c>
      <c r="G43" s="54" t="s">
        <v>931</v>
      </c>
      <c r="H43" s="5" t="s">
        <v>1089</v>
      </c>
      <c r="I43" s="5" t="s">
        <v>1090</v>
      </c>
      <c r="J43" s="15" t="s">
        <v>1091</v>
      </c>
      <c r="K43" s="52" t="n">
        <v>0</v>
      </c>
      <c r="L43" s="5"/>
    </row>
    <row r="44" customFormat="false" ht="21.75" hidden="false" customHeight="true" outlineLevel="0" collapsed="false">
      <c r="A44" s="8" t="s">
        <v>1092</v>
      </c>
      <c r="B44" s="8" t="s">
        <v>1087</v>
      </c>
      <c r="C44" s="8" t="s">
        <v>1093</v>
      </c>
      <c r="D44" s="8" t="s">
        <v>77</v>
      </c>
      <c r="E44" s="8" t="s">
        <v>852</v>
      </c>
      <c r="F44" s="8" t="s">
        <v>697</v>
      </c>
      <c r="G44" s="54" t="s">
        <v>931</v>
      </c>
      <c r="H44" s="8" t="s">
        <v>1094</v>
      </c>
      <c r="I44" s="8" t="s">
        <v>1095</v>
      </c>
      <c r="J44" s="17" t="s">
        <v>1091</v>
      </c>
      <c r="K44" s="53" t="n">
        <v>0</v>
      </c>
      <c r="L44" s="8"/>
    </row>
    <row r="45" customFormat="false" ht="21.75" hidden="false" customHeight="true" outlineLevel="0" collapsed="false">
      <c r="A45" s="5" t="s">
        <v>1096</v>
      </c>
      <c r="B45" s="5" t="s">
        <v>1087</v>
      </c>
      <c r="C45" s="5" t="s">
        <v>1097</v>
      </c>
      <c r="D45" s="5" t="s">
        <v>77</v>
      </c>
      <c r="E45" s="5" t="s">
        <v>881</v>
      </c>
      <c r="F45" s="5" t="s">
        <v>697</v>
      </c>
      <c r="G45" s="54" t="s">
        <v>931</v>
      </c>
      <c r="H45" s="5" t="s">
        <v>1098</v>
      </c>
      <c r="I45" s="5" t="s">
        <v>1099</v>
      </c>
      <c r="J45" s="15" t="s">
        <v>1091</v>
      </c>
      <c r="K45" s="52" t="n">
        <v>0</v>
      </c>
      <c r="L45" s="5" t="s">
        <v>1100</v>
      </c>
    </row>
    <row r="46" customFormat="false" ht="21.75" hidden="false" customHeight="true" outlineLevel="0" collapsed="false">
      <c r="A46" s="8" t="s">
        <v>1101</v>
      </c>
      <c r="B46" s="8" t="s">
        <v>1087</v>
      </c>
      <c r="C46" s="8" t="s">
        <v>1102</v>
      </c>
      <c r="D46" s="8" t="s">
        <v>77</v>
      </c>
      <c r="E46" s="8" t="s">
        <v>1073</v>
      </c>
      <c r="F46" s="8" t="s">
        <v>697</v>
      </c>
      <c r="G46" s="54" t="s">
        <v>931</v>
      </c>
      <c r="H46" s="8" t="s">
        <v>1103</v>
      </c>
      <c r="I46" s="8" t="s">
        <v>1104</v>
      </c>
      <c r="J46" s="17" t="s">
        <v>1091</v>
      </c>
      <c r="K46" s="53" t="n">
        <v>0</v>
      </c>
      <c r="L46" s="8"/>
    </row>
    <row r="47" customFormat="false" ht="15" hidden="false" customHeight="true" outlineLevel="0" collapsed="false">
      <c r="A47" s="51" t="s">
        <v>1105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customFormat="false" ht="21.75" hidden="false" customHeight="true" outlineLevel="0" collapsed="false">
      <c r="A48" s="5" t="s">
        <v>1106</v>
      </c>
      <c r="B48" s="5" t="s">
        <v>1107</v>
      </c>
      <c r="C48" s="5" t="s">
        <v>1108</v>
      </c>
      <c r="D48" s="5" t="s">
        <v>77</v>
      </c>
      <c r="E48" s="5" t="s">
        <v>821</v>
      </c>
      <c r="F48" s="5" t="s">
        <v>697</v>
      </c>
      <c r="G48" s="54" t="s">
        <v>931</v>
      </c>
      <c r="H48" s="5" t="s">
        <v>1109</v>
      </c>
      <c r="I48" s="5" t="s">
        <v>1110</v>
      </c>
      <c r="J48" s="15" t="s">
        <v>1111</v>
      </c>
      <c r="K48" s="52" t="n">
        <v>0</v>
      </c>
      <c r="L48" s="5"/>
    </row>
    <row r="49" customFormat="false" ht="15" hidden="false" customHeight="true" outlineLevel="0" collapsed="false">
      <c r="A49" s="8" t="s">
        <v>1112</v>
      </c>
      <c r="B49" s="8" t="s">
        <v>1107</v>
      </c>
      <c r="C49" s="8" t="s">
        <v>1113</v>
      </c>
      <c r="D49" s="8" t="s">
        <v>77</v>
      </c>
      <c r="E49" s="8" t="s">
        <v>834</v>
      </c>
      <c r="F49" s="8" t="s">
        <v>718</v>
      </c>
      <c r="G49" s="54" t="s">
        <v>931</v>
      </c>
      <c r="H49" s="8" t="s">
        <v>1114</v>
      </c>
      <c r="I49" s="8" t="s">
        <v>1115</v>
      </c>
      <c r="J49" s="17" t="s">
        <v>1111</v>
      </c>
      <c r="K49" s="53" t="n">
        <v>0</v>
      </c>
      <c r="L49" s="8"/>
    </row>
    <row r="50" customFormat="false" ht="21.75" hidden="false" customHeight="true" outlineLevel="0" collapsed="false">
      <c r="A50" s="5" t="s">
        <v>1116</v>
      </c>
      <c r="B50" s="5" t="s">
        <v>1107</v>
      </c>
      <c r="C50" s="5" t="s">
        <v>1117</v>
      </c>
      <c r="D50" s="5" t="s">
        <v>77</v>
      </c>
      <c r="E50" s="5" t="s">
        <v>852</v>
      </c>
      <c r="F50" s="5" t="s">
        <v>718</v>
      </c>
      <c r="G50" s="54" t="s">
        <v>931</v>
      </c>
      <c r="H50" s="5" t="s">
        <v>1118</v>
      </c>
      <c r="I50" s="5" t="s">
        <v>1119</v>
      </c>
      <c r="J50" s="15" t="s">
        <v>1111</v>
      </c>
      <c r="K50" s="52" t="n">
        <v>0</v>
      </c>
      <c r="L50" s="5"/>
    </row>
    <row r="51" customFormat="false" ht="21.75" hidden="false" customHeight="true" outlineLevel="0" collapsed="false">
      <c r="A51" s="8" t="s">
        <v>1120</v>
      </c>
      <c r="B51" s="8" t="s">
        <v>1107</v>
      </c>
      <c r="C51" s="8" t="s">
        <v>1121</v>
      </c>
      <c r="D51" s="8" t="s">
        <v>77</v>
      </c>
      <c r="E51" s="8" t="s">
        <v>852</v>
      </c>
      <c r="F51" s="8" t="s">
        <v>718</v>
      </c>
      <c r="G51" s="54" t="s">
        <v>931</v>
      </c>
      <c r="H51" s="8" t="s">
        <v>1122</v>
      </c>
      <c r="I51" s="8" t="s">
        <v>1123</v>
      </c>
      <c r="J51" s="17" t="s">
        <v>1111</v>
      </c>
      <c r="K51" s="53" t="n">
        <v>0</v>
      </c>
      <c r="L51" s="8"/>
    </row>
  </sheetData>
  <mergeCells count="7">
    <mergeCell ref="A1:L1"/>
    <mergeCell ref="A4:L4"/>
    <mergeCell ref="A14:L14"/>
    <mergeCell ref="A27:L27"/>
    <mergeCell ref="A35:L35"/>
    <mergeCell ref="A42:L42"/>
    <mergeCell ref="A47:L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1124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1125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21.75" hidden="false" customHeight="true" outlineLevel="0" collapsed="false">
      <c r="A5" s="5" t="s">
        <v>1126</v>
      </c>
      <c r="B5" s="5" t="s">
        <v>1127</v>
      </c>
      <c r="C5" s="5" t="s">
        <v>1128</v>
      </c>
      <c r="D5" s="5" t="s">
        <v>77</v>
      </c>
      <c r="E5" s="5" t="s">
        <v>852</v>
      </c>
      <c r="F5" s="5" t="s">
        <v>787</v>
      </c>
      <c r="G5" s="16" t="s">
        <v>84</v>
      </c>
      <c r="H5" s="5" t="s">
        <v>1129</v>
      </c>
      <c r="I5" s="5" t="s">
        <v>1130</v>
      </c>
      <c r="J5" s="15" t="s">
        <v>1131</v>
      </c>
      <c r="K5" s="52" t="n">
        <v>0</v>
      </c>
      <c r="L5" s="5"/>
    </row>
    <row r="6" customFormat="false" ht="15" hidden="false" customHeight="true" outlineLevel="0" collapsed="false">
      <c r="A6" s="8" t="s">
        <v>1132</v>
      </c>
      <c r="B6" s="8" t="s">
        <v>1127</v>
      </c>
      <c r="C6" s="8" t="s">
        <v>1133</v>
      </c>
      <c r="D6" s="8" t="s">
        <v>86</v>
      </c>
      <c r="E6" s="8" t="s">
        <v>881</v>
      </c>
      <c r="F6" s="8" t="s">
        <v>787</v>
      </c>
      <c r="G6" s="16" t="s">
        <v>84</v>
      </c>
      <c r="H6" s="8" t="s">
        <v>1134</v>
      </c>
      <c r="I6" s="8" t="s">
        <v>1135</v>
      </c>
      <c r="J6" s="17" t="s">
        <v>1131</v>
      </c>
      <c r="K6" s="53" t="n">
        <v>0</v>
      </c>
      <c r="L6" s="8"/>
    </row>
    <row r="7" customFormat="false" ht="21.75" hidden="false" customHeight="true" outlineLevel="0" collapsed="false">
      <c r="A7" s="5" t="s">
        <v>1136</v>
      </c>
      <c r="B7" s="5" t="s">
        <v>1127</v>
      </c>
      <c r="C7" s="5" t="s">
        <v>1137</v>
      </c>
      <c r="D7" s="5" t="s">
        <v>86</v>
      </c>
      <c r="E7" s="5" t="s">
        <v>1064</v>
      </c>
      <c r="F7" s="5" t="s">
        <v>787</v>
      </c>
      <c r="G7" s="16" t="s">
        <v>84</v>
      </c>
      <c r="H7" s="5" t="s">
        <v>1138</v>
      </c>
      <c r="I7" s="5" t="s">
        <v>1139</v>
      </c>
      <c r="J7" s="15" t="s">
        <v>1131</v>
      </c>
      <c r="K7" s="52" t="n">
        <v>0</v>
      </c>
      <c r="L7" s="5"/>
    </row>
    <row r="8" customFormat="false" ht="15" hidden="false" customHeight="true" outlineLevel="0" collapsed="false">
      <c r="A8" s="8" t="s">
        <v>1140</v>
      </c>
      <c r="B8" s="8" t="s">
        <v>1127</v>
      </c>
      <c r="C8" s="8" t="s">
        <v>1141</v>
      </c>
      <c r="D8" s="8" t="s">
        <v>86</v>
      </c>
      <c r="E8" s="8" t="s">
        <v>876</v>
      </c>
      <c r="F8" s="8" t="s">
        <v>697</v>
      </c>
      <c r="G8" s="16" t="s">
        <v>84</v>
      </c>
      <c r="H8" s="8" t="s">
        <v>1142</v>
      </c>
      <c r="I8" s="8" t="s">
        <v>1143</v>
      </c>
      <c r="J8" s="17" t="s">
        <v>1131</v>
      </c>
      <c r="K8" s="53" t="n">
        <v>0</v>
      </c>
      <c r="L8" s="8" t="s">
        <v>1144</v>
      </c>
    </row>
    <row r="9" customFormat="false" ht="21.75" hidden="false" customHeight="true" outlineLevel="0" collapsed="false">
      <c r="A9" s="5" t="s">
        <v>1145</v>
      </c>
      <c r="B9" s="5" t="s">
        <v>1127</v>
      </c>
      <c r="C9" s="5" t="s">
        <v>1146</v>
      </c>
      <c r="D9" s="5" t="s">
        <v>77</v>
      </c>
      <c r="E9" s="5" t="s">
        <v>865</v>
      </c>
      <c r="F9" s="5" t="s">
        <v>697</v>
      </c>
      <c r="G9" s="16" t="s">
        <v>84</v>
      </c>
      <c r="H9" s="5" t="s">
        <v>1147</v>
      </c>
      <c r="I9" s="5" t="s">
        <v>1148</v>
      </c>
      <c r="J9" s="15" t="s">
        <v>1131</v>
      </c>
      <c r="K9" s="52" t="n">
        <v>0</v>
      </c>
      <c r="L9" s="5"/>
    </row>
    <row r="10" customFormat="false" ht="21.75" hidden="false" customHeight="true" outlineLevel="0" collapsed="false">
      <c r="A10" s="8" t="s">
        <v>1149</v>
      </c>
      <c r="B10" s="8" t="s">
        <v>1127</v>
      </c>
      <c r="C10" s="8" t="s">
        <v>1150</v>
      </c>
      <c r="D10" s="8" t="s">
        <v>86</v>
      </c>
      <c r="E10" s="8" t="s">
        <v>1064</v>
      </c>
      <c r="F10" s="8" t="s">
        <v>697</v>
      </c>
      <c r="G10" s="16" t="s">
        <v>84</v>
      </c>
      <c r="H10" s="8" t="s">
        <v>1151</v>
      </c>
      <c r="I10" s="8" t="s">
        <v>1152</v>
      </c>
      <c r="J10" s="17" t="s">
        <v>1131</v>
      </c>
      <c r="K10" s="53" t="n">
        <v>0</v>
      </c>
      <c r="L10" s="8" t="s">
        <v>1153</v>
      </c>
    </row>
    <row r="11" customFormat="false" ht="21.75" hidden="false" customHeight="true" outlineLevel="0" collapsed="false">
      <c r="A11" s="5" t="s">
        <v>1154</v>
      </c>
      <c r="B11" s="5" t="s">
        <v>1127</v>
      </c>
      <c r="C11" s="5" t="s">
        <v>1155</v>
      </c>
      <c r="D11" s="5" t="s">
        <v>86</v>
      </c>
      <c r="E11" s="5" t="s">
        <v>1064</v>
      </c>
      <c r="F11" s="5" t="s">
        <v>718</v>
      </c>
      <c r="G11" s="16" t="s">
        <v>84</v>
      </c>
      <c r="H11" s="5" t="s">
        <v>1156</v>
      </c>
      <c r="I11" s="5" t="s">
        <v>1157</v>
      </c>
      <c r="J11" s="15" t="s">
        <v>1131</v>
      </c>
      <c r="K11" s="52" t="n">
        <v>0</v>
      </c>
      <c r="L11" s="5"/>
    </row>
    <row r="12" customFormat="false" ht="15" hidden="false" customHeight="true" outlineLevel="0" collapsed="false">
      <c r="A12" s="51" t="s">
        <v>1158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customFormat="false" ht="21.75" hidden="false" customHeight="true" outlineLevel="0" collapsed="false">
      <c r="A13" s="5" t="s">
        <v>1159</v>
      </c>
      <c r="B13" s="5" t="s">
        <v>1160</v>
      </c>
      <c r="C13" s="5" t="s">
        <v>1161</v>
      </c>
      <c r="D13" s="5" t="s">
        <v>86</v>
      </c>
      <c r="E13" s="5" t="s">
        <v>865</v>
      </c>
      <c r="F13" s="5" t="s">
        <v>787</v>
      </c>
      <c r="G13" s="16" t="s">
        <v>84</v>
      </c>
      <c r="H13" s="5" t="s">
        <v>1162</v>
      </c>
      <c r="I13" s="5" t="s">
        <v>1163</v>
      </c>
      <c r="J13" s="15" t="s">
        <v>1164</v>
      </c>
      <c r="K13" s="52" t="n">
        <v>0</v>
      </c>
      <c r="L13" s="5"/>
    </row>
    <row r="14" customFormat="false" ht="21.75" hidden="false" customHeight="true" outlineLevel="0" collapsed="false">
      <c r="A14" s="8" t="s">
        <v>1165</v>
      </c>
      <c r="B14" s="8" t="s">
        <v>1160</v>
      </c>
      <c r="C14" s="8" t="s">
        <v>1166</v>
      </c>
      <c r="D14" s="8" t="s">
        <v>86</v>
      </c>
      <c r="E14" s="8" t="s">
        <v>865</v>
      </c>
      <c r="F14" s="8" t="s">
        <v>787</v>
      </c>
      <c r="G14" s="16" t="s">
        <v>84</v>
      </c>
      <c r="H14" s="8" t="s">
        <v>1167</v>
      </c>
      <c r="I14" s="8" t="s">
        <v>1168</v>
      </c>
      <c r="J14" s="17" t="s">
        <v>1164</v>
      </c>
      <c r="K14" s="53" t="n">
        <v>0</v>
      </c>
      <c r="L14" s="8"/>
    </row>
    <row r="15" customFormat="false" ht="21.75" hidden="false" customHeight="true" outlineLevel="0" collapsed="false">
      <c r="A15" s="5" t="s">
        <v>1169</v>
      </c>
      <c r="B15" s="5" t="s">
        <v>1160</v>
      </c>
      <c r="C15" s="5" t="s">
        <v>1170</v>
      </c>
      <c r="D15" s="5" t="s">
        <v>86</v>
      </c>
      <c r="E15" s="5" t="s">
        <v>1171</v>
      </c>
      <c r="F15" s="5" t="s">
        <v>697</v>
      </c>
      <c r="G15" s="16" t="s">
        <v>84</v>
      </c>
      <c r="H15" s="5" t="s">
        <v>1172</v>
      </c>
      <c r="I15" s="5" t="s">
        <v>1173</v>
      </c>
      <c r="J15" s="15" t="s">
        <v>1164</v>
      </c>
      <c r="K15" s="52" t="n">
        <v>0</v>
      </c>
      <c r="L15" s="5"/>
    </row>
    <row r="16" customFormat="false" ht="15" hidden="false" customHeight="true" outlineLevel="0" collapsed="false">
      <c r="A16" s="8" t="s">
        <v>1174</v>
      </c>
      <c r="B16" s="8" t="s">
        <v>1160</v>
      </c>
      <c r="C16" s="8" t="s">
        <v>1175</v>
      </c>
      <c r="D16" s="8" t="s">
        <v>86</v>
      </c>
      <c r="E16" s="8" t="s">
        <v>865</v>
      </c>
      <c r="F16" s="8" t="s">
        <v>697</v>
      </c>
      <c r="G16" s="16" t="s">
        <v>84</v>
      </c>
      <c r="H16" s="8" t="s">
        <v>1176</v>
      </c>
      <c r="I16" s="8" t="s">
        <v>1177</v>
      </c>
      <c r="J16" s="17" t="s">
        <v>1164</v>
      </c>
      <c r="K16" s="53" t="n">
        <v>0</v>
      </c>
      <c r="L16" s="8"/>
    </row>
    <row r="17" customFormat="false" ht="21.75" hidden="false" customHeight="true" outlineLevel="0" collapsed="false">
      <c r="A17" s="5" t="s">
        <v>1178</v>
      </c>
      <c r="B17" s="5" t="s">
        <v>1160</v>
      </c>
      <c r="C17" s="5" t="s">
        <v>1179</v>
      </c>
      <c r="D17" s="5" t="s">
        <v>86</v>
      </c>
      <c r="E17" s="5" t="s">
        <v>1180</v>
      </c>
      <c r="F17" s="5" t="s">
        <v>718</v>
      </c>
      <c r="G17" s="16" t="s">
        <v>84</v>
      </c>
      <c r="H17" s="5" t="s">
        <v>1181</v>
      </c>
      <c r="I17" s="5" t="s">
        <v>1182</v>
      </c>
      <c r="J17" s="15" t="s">
        <v>1164</v>
      </c>
      <c r="K17" s="52" t="n">
        <v>0</v>
      </c>
      <c r="L17" s="5"/>
    </row>
    <row r="18" customFormat="false" ht="21.75" hidden="false" customHeight="true" outlineLevel="0" collapsed="false">
      <c r="A18" s="8" t="s">
        <v>1183</v>
      </c>
      <c r="B18" s="8" t="s">
        <v>1160</v>
      </c>
      <c r="C18" s="8" t="s">
        <v>1184</v>
      </c>
      <c r="D18" s="8" t="s">
        <v>86</v>
      </c>
      <c r="E18" s="8" t="s">
        <v>1082</v>
      </c>
      <c r="F18" s="8" t="s">
        <v>697</v>
      </c>
      <c r="G18" s="16" t="s">
        <v>84</v>
      </c>
      <c r="H18" s="8" t="s">
        <v>1185</v>
      </c>
      <c r="I18" s="8" t="s">
        <v>1186</v>
      </c>
      <c r="J18" s="17" t="s">
        <v>1164</v>
      </c>
      <c r="K18" s="53" t="n">
        <v>0</v>
      </c>
      <c r="L18" s="8" t="s">
        <v>1187</v>
      </c>
    </row>
    <row r="19" customFormat="false" ht="15" hidden="false" customHeight="true" outlineLevel="0" collapsed="false">
      <c r="A19" s="5" t="s">
        <v>1188</v>
      </c>
      <c r="B19" s="5" t="s">
        <v>1160</v>
      </c>
      <c r="C19" s="5" t="s">
        <v>1189</v>
      </c>
      <c r="D19" s="5" t="s">
        <v>86</v>
      </c>
      <c r="E19" s="5" t="s">
        <v>1082</v>
      </c>
      <c r="F19" s="5" t="s">
        <v>697</v>
      </c>
      <c r="G19" s="16" t="s">
        <v>84</v>
      </c>
      <c r="H19" s="5" t="s">
        <v>1190</v>
      </c>
      <c r="I19" s="5" t="s">
        <v>1191</v>
      </c>
      <c r="J19" s="15" t="s">
        <v>1164</v>
      </c>
      <c r="K19" s="52" t="n">
        <v>0</v>
      </c>
      <c r="L19" s="5" t="s">
        <v>1192</v>
      </c>
    </row>
    <row r="20" customFormat="false" ht="15" hidden="false" customHeight="true" outlineLevel="0" collapsed="false">
      <c r="A20" s="51" t="s">
        <v>1193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</row>
    <row r="21" customFormat="false" ht="21.75" hidden="false" customHeight="true" outlineLevel="0" collapsed="false">
      <c r="A21" s="5" t="s">
        <v>1194</v>
      </c>
      <c r="B21" s="5" t="s">
        <v>1195</v>
      </c>
      <c r="C21" s="5" t="s">
        <v>1196</v>
      </c>
      <c r="D21" s="5" t="s">
        <v>77</v>
      </c>
      <c r="E21" s="5" t="s">
        <v>886</v>
      </c>
      <c r="F21" s="5" t="s">
        <v>697</v>
      </c>
      <c r="G21" s="16" t="s">
        <v>84</v>
      </c>
      <c r="H21" s="5" t="s">
        <v>1197</v>
      </c>
      <c r="I21" s="5" t="s">
        <v>1198</v>
      </c>
      <c r="J21" s="15" t="s">
        <v>1199</v>
      </c>
      <c r="K21" s="52" t="n">
        <v>0</v>
      </c>
      <c r="L21" s="5" t="s">
        <v>1200</v>
      </c>
    </row>
    <row r="22" customFormat="false" ht="15" hidden="false" customHeight="true" outlineLevel="0" collapsed="false">
      <c r="A22" s="8" t="s">
        <v>1201</v>
      </c>
      <c r="B22" s="8" t="s">
        <v>1195</v>
      </c>
      <c r="C22" s="8" t="s">
        <v>1202</v>
      </c>
      <c r="D22" s="8" t="s">
        <v>841</v>
      </c>
      <c r="E22" s="8" t="s">
        <v>1180</v>
      </c>
      <c r="F22" s="8" t="s">
        <v>787</v>
      </c>
      <c r="G22" s="16" t="s">
        <v>84</v>
      </c>
      <c r="H22" s="8" t="s">
        <v>1203</v>
      </c>
      <c r="I22" s="8" t="s">
        <v>1204</v>
      </c>
      <c r="J22" s="17" t="s">
        <v>1199</v>
      </c>
      <c r="K22" s="53" t="n">
        <v>0</v>
      </c>
      <c r="L22" s="8"/>
    </row>
    <row r="23" customFormat="false" ht="15" hidden="false" customHeight="true" outlineLevel="0" collapsed="false">
      <c r="A23" s="5" t="s">
        <v>1205</v>
      </c>
      <c r="B23" s="5" t="s">
        <v>1195</v>
      </c>
      <c r="C23" s="5" t="s">
        <v>1206</v>
      </c>
      <c r="D23" s="5" t="s">
        <v>841</v>
      </c>
      <c r="E23" s="5" t="s">
        <v>1180</v>
      </c>
      <c r="F23" s="5" t="s">
        <v>787</v>
      </c>
      <c r="G23" s="16" t="s">
        <v>84</v>
      </c>
      <c r="H23" s="5" t="s">
        <v>1207</v>
      </c>
      <c r="I23" s="5" t="s">
        <v>1204</v>
      </c>
      <c r="J23" s="15" t="s">
        <v>1199</v>
      </c>
      <c r="K23" s="52" t="n">
        <v>0</v>
      </c>
      <c r="L23" s="5"/>
    </row>
    <row r="24" customFormat="false" ht="21.75" hidden="false" customHeight="true" outlineLevel="0" collapsed="false">
      <c r="A24" s="8" t="s">
        <v>1208</v>
      </c>
      <c r="B24" s="8" t="s">
        <v>1195</v>
      </c>
      <c r="C24" s="8" t="s">
        <v>1209</v>
      </c>
      <c r="D24" s="8" t="s">
        <v>841</v>
      </c>
      <c r="E24" s="8" t="s">
        <v>1210</v>
      </c>
      <c r="F24" s="8" t="s">
        <v>787</v>
      </c>
      <c r="G24" s="16" t="s">
        <v>84</v>
      </c>
      <c r="H24" s="8" t="s">
        <v>1211</v>
      </c>
      <c r="I24" s="8" t="s">
        <v>1212</v>
      </c>
      <c r="J24" s="17" t="s">
        <v>1199</v>
      </c>
      <c r="K24" s="53" t="n">
        <v>0</v>
      </c>
      <c r="L24" s="8"/>
    </row>
    <row r="25" customFormat="false" ht="15" hidden="false" customHeight="true" outlineLevel="0" collapsed="false">
      <c r="A25" s="5" t="s">
        <v>1213</v>
      </c>
      <c r="B25" s="5" t="s">
        <v>1195</v>
      </c>
      <c r="C25" s="5" t="s">
        <v>1214</v>
      </c>
      <c r="D25" s="5" t="s">
        <v>841</v>
      </c>
      <c r="E25" s="5" t="s">
        <v>1215</v>
      </c>
      <c r="F25" s="5" t="s">
        <v>697</v>
      </c>
      <c r="G25" s="16" t="s">
        <v>84</v>
      </c>
      <c r="H25" s="5" t="s">
        <v>1216</v>
      </c>
      <c r="I25" s="5" t="s">
        <v>1217</v>
      </c>
      <c r="J25" s="15" t="s">
        <v>1199</v>
      </c>
      <c r="K25" s="52" t="n">
        <v>0</v>
      </c>
      <c r="L25" s="5"/>
    </row>
    <row r="26" customFormat="false" ht="21.75" hidden="false" customHeight="true" outlineLevel="0" collapsed="false">
      <c r="A26" s="8" t="s">
        <v>1218</v>
      </c>
      <c r="B26" s="8" t="s">
        <v>1195</v>
      </c>
      <c r="C26" s="8" t="s">
        <v>1219</v>
      </c>
      <c r="D26" s="8" t="s">
        <v>841</v>
      </c>
      <c r="E26" s="8" t="s">
        <v>1082</v>
      </c>
      <c r="F26" s="8" t="s">
        <v>787</v>
      </c>
      <c r="G26" s="16" t="s">
        <v>84</v>
      </c>
      <c r="H26" s="8" t="s">
        <v>1220</v>
      </c>
      <c r="I26" s="8" t="s">
        <v>1221</v>
      </c>
      <c r="J26" s="17" t="s">
        <v>1199</v>
      </c>
      <c r="K26" s="53" t="n">
        <v>0</v>
      </c>
      <c r="L26" s="8"/>
    </row>
    <row r="27" customFormat="false" ht="21.75" hidden="false" customHeight="true" outlineLevel="0" collapsed="false">
      <c r="A27" s="5" t="s">
        <v>1222</v>
      </c>
      <c r="B27" s="5" t="s">
        <v>1195</v>
      </c>
      <c r="C27" s="5" t="s">
        <v>1223</v>
      </c>
      <c r="D27" s="5" t="s">
        <v>841</v>
      </c>
      <c r="E27" s="5" t="s">
        <v>1082</v>
      </c>
      <c r="F27" s="5" t="s">
        <v>787</v>
      </c>
      <c r="G27" s="16" t="s">
        <v>84</v>
      </c>
      <c r="H27" s="5" t="s">
        <v>1224</v>
      </c>
      <c r="I27" s="5" t="s">
        <v>1225</v>
      </c>
      <c r="J27" s="15" t="s">
        <v>1199</v>
      </c>
      <c r="K27" s="52" t="n">
        <v>0</v>
      </c>
      <c r="L27" s="5"/>
    </row>
    <row r="28" customFormat="false" ht="15" hidden="false" customHeight="true" outlineLevel="0" collapsed="false">
      <c r="A28" s="8" t="s">
        <v>1226</v>
      </c>
      <c r="B28" s="8" t="s">
        <v>1195</v>
      </c>
      <c r="C28" s="8" t="s">
        <v>1227</v>
      </c>
      <c r="D28" s="8" t="s">
        <v>841</v>
      </c>
      <c r="E28" s="8" t="s">
        <v>1082</v>
      </c>
      <c r="F28" s="8" t="s">
        <v>697</v>
      </c>
      <c r="G28" s="16" t="s">
        <v>84</v>
      </c>
      <c r="H28" s="8" t="s">
        <v>1228</v>
      </c>
      <c r="I28" s="8" t="s">
        <v>1229</v>
      </c>
      <c r="J28" s="17" t="s">
        <v>1199</v>
      </c>
      <c r="K28" s="53" t="n">
        <v>0</v>
      </c>
      <c r="L28" s="8"/>
    </row>
    <row r="29" customFormat="false" ht="21.75" hidden="false" customHeight="true" outlineLevel="0" collapsed="false">
      <c r="A29" s="5" t="s">
        <v>1230</v>
      </c>
      <c r="B29" s="5" t="s">
        <v>1195</v>
      </c>
      <c r="C29" s="5" t="s">
        <v>1231</v>
      </c>
      <c r="D29" s="5" t="s">
        <v>841</v>
      </c>
      <c r="E29" s="5" t="s">
        <v>1232</v>
      </c>
      <c r="F29" s="5" t="s">
        <v>718</v>
      </c>
      <c r="G29" s="16" t="s">
        <v>84</v>
      </c>
      <c r="H29" s="5" t="s">
        <v>1233</v>
      </c>
      <c r="I29" s="5" t="s">
        <v>1234</v>
      </c>
      <c r="J29" s="15" t="s">
        <v>1199</v>
      </c>
      <c r="K29" s="52" t="n">
        <v>0</v>
      </c>
      <c r="L29" s="5"/>
    </row>
    <row r="30" customFormat="false" ht="15" hidden="false" customHeight="true" outlineLevel="0" collapsed="false">
      <c r="A30" s="51" t="s">
        <v>1235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customFormat="false" ht="15" hidden="false" customHeight="true" outlineLevel="0" collapsed="false">
      <c r="A31" s="5" t="s">
        <v>1236</v>
      </c>
      <c r="B31" s="5" t="s">
        <v>1237</v>
      </c>
      <c r="C31" s="5" t="s">
        <v>1238</v>
      </c>
      <c r="D31" s="5" t="s">
        <v>86</v>
      </c>
      <c r="E31" s="5" t="s">
        <v>1239</v>
      </c>
      <c r="F31" s="5" t="s">
        <v>787</v>
      </c>
      <c r="G31" s="54" t="s">
        <v>931</v>
      </c>
      <c r="H31" s="5" t="s">
        <v>1240</v>
      </c>
      <c r="I31" s="5" t="s">
        <v>1241</v>
      </c>
      <c r="J31" s="15" t="s">
        <v>1242</v>
      </c>
      <c r="K31" s="52" t="n">
        <v>0</v>
      </c>
      <c r="L31" s="5"/>
    </row>
    <row r="32" customFormat="false" ht="15" hidden="false" customHeight="true" outlineLevel="0" collapsed="false">
      <c r="A32" s="8" t="s">
        <v>1243</v>
      </c>
      <c r="B32" s="8" t="s">
        <v>1237</v>
      </c>
      <c r="C32" s="8" t="s">
        <v>1244</v>
      </c>
      <c r="D32" s="8" t="s">
        <v>77</v>
      </c>
      <c r="E32" s="8" t="s">
        <v>1245</v>
      </c>
      <c r="F32" s="8" t="s">
        <v>787</v>
      </c>
      <c r="G32" s="54" t="s">
        <v>931</v>
      </c>
      <c r="H32" s="8" t="s">
        <v>1246</v>
      </c>
      <c r="I32" s="8" t="s">
        <v>1247</v>
      </c>
      <c r="J32" s="17" t="s">
        <v>1242</v>
      </c>
      <c r="K32" s="53" t="n">
        <v>0</v>
      </c>
      <c r="L32" s="8"/>
    </row>
    <row r="33" customFormat="false" ht="21.75" hidden="false" customHeight="true" outlineLevel="0" collapsed="false">
      <c r="A33" s="5" t="s">
        <v>1248</v>
      </c>
      <c r="B33" s="5" t="s">
        <v>1237</v>
      </c>
      <c r="C33" s="5" t="s">
        <v>1249</v>
      </c>
      <c r="D33" s="5" t="s">
        <v>1250</v>
      </c>
      <c r="E33" s="5" t="s">
        <v>1251</v>
      </c>
      <c r="F33" s="5" t="s">
        <v>787</v>
      </c>
      <c r="G33" s="54" t="s">
        <v>931</v>
      </c>
      <c r="H33" s="5" t="s">
        <v>1252</v>
      </c>
      <c r="I33" s="5" t="s">
        <v>1253</v>
      </c>
      <c r="J33" s="15" t="s">
        <v>1242</v>
      </c>
      <c r="K33" s="52" t="n">
        <v>0</v>
      </c>
      <c r="L33" s="5"/>
    </row>
    <row r="34" customFormat="false" ht="15" hidden="false" customHeight="true" outlineLevel="0" collapsed="false">
      <c r="A34" s="8" t="s">
        <v>1254</v>
      </c>
      <c r="B34" s="8" t="s">
        <v>1237</v>
      </c>
      <c r="C34" s="8" t="s">
        <v>1255</v>
      </c>
      <c r="D34" s="8" t="s">
        <v>77</v>
      </c>
      <c r="E34" s="8" t="s">
        <v>1256</v>
      </c>
      <c r="F34" s="8" t="s">
        <v>787</v>
      </c>
      <c r="G34" s="54" t="s">
        <v>931</v>
      </c>
      <c r="H34" s="8" t="s">
        <v>1257</v>
      </c>
      <c r="I34" s="8" t="s">
        <v>1258</v>
      </c>
      <c r="J34" s="17" t="s">
        <v>1242</v>
      </c>
      <c r="K34" s="53" t="n">
        <v>0</v>
      </c>
      <c r="L34" s="8"/>
    </row>
    <row r="35" customFormat="false" ht="15" hidden="false" customHeight="true" outlineLevel="0" collapsed="false">
      <c r="A35" s="5" t="s">
        <v>1259</v>
      </c>
      <c r="B35" s="5" t="s">
        <v>1237</v>
      </c>
      <c r="C35" s="5" t="s">
        <v>1260</v>
      </c>
      <c r="D35" s="5" t="s">
        <v>77</v>
      </c>
      <c r="E35" s="5" t="s">
        <v>1256</v>
      </c>
      <c r="F35" s="5" t="s">
        <v>787</v>
      </c>
      <c r="G35" s="54" t="s">
        <v>931</v>
      </c>
      <c r="H35" s="5" t="s">
        <v>1261</v>
      </c>
      <c r="I35" s="5" t="s">
        <v>1262</v>
      </c>
      <c r="J35" s="15" t="s">
        <v>1242</v>
      </c>
      <c r="K35" s="52" t="n">
        <v>0</v>
      </c>
      <c r="L35" s="5" t="s">
        <v>1263</v>
      </c>
    </row>
    <row r="36" customFormat="false" ht="15" hidden="false" customHeight="true" outlineLevel="0" collapsed="false">
      <c r="A36" s="8" t="s">
        <v>1264</v>
      </c>
      <c r="B36" s="8" t="s">
        <v>1237</v>
      </c>
      <c r="C36" s="8" t="s">
        <v>1265</v>
      </c>
      <c r="D36" s="8" t="s">
        <v>77</v>
      </c>
      <c r="E36" s="8" t="s">
        <v>1256</v>
      </c>
      <c r="F36" s="8" t="s">
        <v>787</v>
      </c>
      <c r="G36" s="54" t="s">
        <v>931</v>
      </c>
      <c r="H36" s="8" t="s">
        <v>1266</v>
      </c>
      <c r="I36" s="8" t="s">
        <v>1267</v>
      </c>
      <c r="J36" s="17" t="s">
        <v>1242</v>
      </c>
      <c r="K36" s="53" t="n">
        <v>0</v>
      </c>
      <c r="L36" s="8"/>
    </row>
    <row r="37" customFormat="false" ht="15" hidden="false" customHeight="true" outlineLevel="0" collapsed="false">
      <c r="A37" s="5" t="s">
        <v>1268</v>
      </c>
      <c r="B37" s="5" t="s">
        <v>1237</v>
      </c>
      <c r="C37" s="5" t="s">
        <v>1269</v>
      </c>
      <c r="D37" s="5" t="s">
        <v>77</v>
      </c>
      <c r="E37" s="5" t="s">
        <v>1256</v>
      </c>
      <c r="F37" s="5" t="s">
        <v>787</v>
      </c>
      <c r="G37" s="54" t="s">
        <v>931</v>
      </c>
      <c r="H37" s="5" t="s">
        <v>1270</v>
      </c>
      <c r="I37" s="5" t="s">
        <v>1271</v>
      </c>
      <c r="J37" s="15" t="s">
        <v>1242</v>
      </c>
      <c r="K37" s="52" t="n">
        <v>0</v>
      </c>
      <c r="L37" s="5"/>
    </row>
    <row r="38" customFormat="false" ht="15" hidden="false" customHeight="true" outlineLevel="0" collapsed="false">
      <c r="A38" s="8" t="s">
        <v>1272</v>
      </c>
      <c r="B38" s="8" t="s">
        <v>1237</v>
      </c>
      <c r="C38" s="8" t="s">
        <v>1273</v>
      </c>
      <c r="D38" s="8" t="s">
        <v>77</v>
      </c>
      <c r="E38" s="8" t="s">
        <v>1256</v>
      </c>
      <c r="F38" s="8" t="s">
        <v>697</v>
      </c>
      <c r="G38" s="54" t="s">
        <v>931</v>
      </c>
      <c r="H38" s="8" t="s">
        <v>1274</v>
      </c>
      <c r="I38" s="8" t="s">
        <v>1275</v>
      </c>
      <c r="J38" s="17" t="s">
        <v>1242</v>
      </c>
      <c r="K38" s="53" t="n">
        <v>0</v>
      </c>
      <c r="L38" s="8" t="s">
        <v>1276</v>
      </c>
    </row>
    <row r="39" customFormat="false" ht="15" hidden="false" customHeight="true" outlineLevel="0" collapsed="false">
      <c r="A39" s="5" t="s">
        <v>1277</v>
      </c>
      <c r="B39" s="5" t="s">
        <v>1237</v>
      </c>
      <c r="C39" s="5" t="s">
        <v>1278</v>
      </c>
      <c r="D39" s="5" t="s">
        <v>77</v>
      </c>
      <c r="E39" s="5" t="s">
        <v>1256</v>
      </c>
      <c r="F39" s="5" t="s">
        <v>697</v>
      </c>
      <c r="G39" s="54" t="s">
        <v>931</v>
      </c>
      <c r="H39" s="5" t="s">
        <v>1279</v>
      </c>
      <c r="I39" s="5" t="s">
        <v>1280</v>
      </c>
      <c r="J39" s="15" t="s">
        <v>1242</v>
      </c>
      <c r="K39" s="52" t="n">
        <v>0</v>
      </c>
      <c r="L39" s="5"/>
    </row>
    <row r="40" customFormat="false" ht="15" hidden="false" customHeight="true" outlineLevel="0" collapsed="false">
      <c r="A40" s="8" t="s">
        <v>1281</v>
      </c>
      <c r="B40" s="8" t="s">
        <v>1237</v>
      </c>
      <c r="C40" s="8" t="s">
        <v>1282</v>
      </c>
      <c r="D40" s="8" t="s">
        <v>77</v>
      </c>
      <c r="E40" s="8" t="s">
        <v>1283</v>
      </c>
      <c r="F40" s="8" t="s">
        <v>697</v>
      </c>
      <c r="G40" s="54" t="s">
        <v>931</v>
      </c>
      <c r="H40" s="8" t="s">
        <v>1284</v>
      </c>
      <c r="I40" s="8" t="s">
        <v>1285</v>
      </c>
      <c r="J40" s="17" t="s">
        <v>1242</v>
      </c>
      <c r="K40" s="53" t="n">
        <v>0</v>
      </c>
      <c r="L40" s="8"/>
    </row>
    <row r="41" customFormat="false" ht="15" hidden="false" customHeight="true" outlineLevel="0" collapsed="false">
      <c r="A41" s="5" t="s">
        <v>1286</v>
      </c>
      <c r="B41" s="5" t="s">
        <v>1237</v>
      </c>
      <c r="C41" s="5" t="s">
        <v>1287</v>
      </c>
      <c r="D41" s="5" t="s">
        <v>86</v>
      </c>
      <c r="E41" s="5" t="s">
        <v>1283</v>
      </c>
      <c r="F41" s="5" t="s">
        <v>787</v>
      </c>
      <c r="G41" s="54" t="s">
        <v>931</v>
      </c>
      <c r="H41" s="5" t="s">
        <v>1288</v>
      </c>
      <c r="I41" s="5" t="s">
        <v>1289</v>
      </c>
      <c r="J41" s="15" t="s">
        <v>1242</v>
      </c>
      <c r="K41" s="52" t="n">
        <v>0</v>
      </c>
      <c r="L41" s="5"/>
    </row>
    <row r="42" customFormat="false" ht="15" hidden="false" customHeight="true" outlineLevel="0" collapsed="false">
      <c r="A42" s="51" t="s">
        <v>1290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</row>
    <row r="43" customFormat="false" ht="21.75" hidden="false" customHeight="true" outlineLevel="0" collapsed="false">
      <c r="A43" s="5" t="s">
        <v>1291</v>
      </c>
      <c r="B43" s="5" t="s">
        <v>1292</v>
      </c>
      <c r="C43" s="5" t="s">
        <v>1293</v>
      </c>
      <c r="D43" s="5" t="s">
        <v>77</v>
      </c>
      <c r="E43" s="5" t="s">
        <v>1294</v>
      </c>
      <c r="F43" s="5" t="s">
        <v>697</v>
      </c>
      <c r="G43" s="54" t="s">
        <v>931</v>
      </c>
      <c r="H43" s="5" t="s">
        <v>1295</v>
      </c>
      <c r="I43" s="5" t="s">
        <v>1296</v>
      </c>
      <c r="J43" s="15" t="s">
        <v>1242</v>
      </c>
      <c r="K43" s="52" t="n">
        <v>0</v>
      </c>
      <c r="L43" s="5"/>
    </row>
    <row r="44" customFormat="false" ht="21.75" hidden="false" customHeight="true" outlineLevel="0" collapsed="false">
      <c r="A44" s="8" t="s">
        <v>1297</v>
      </c>
      <c r="B44" s="8" t="s">
        <v>1292</v>
      </c>
      <c r="C44" s="8" t="s">
        <v>1298</v>
      </c>
      <c r="D44" s="8" t="s">
        <v>86</v>
      </c>
      <c r="E44" s="8" t="s">
        <v>1299</v>
      </c>
      <c r="F44" s="8" t="s">
        <v>787</v>
      </c>
      <c r="G44" s="54" t="s">
        <v>931</v>
      </c>
      <c r="H44" s="8" t="s">
        <v>1300</v>
      </c>
      <c r="I44" s="8" t="s">
        <v>1301</v>
      </c>
      <c r="J44" s="17" t="s">
        <v>1242</v>
      </c>
      <c r="K44" s="53" t="n">
        <v>0</v>
      </c>
      <c r="L44" s="8" t="s">
        <v>1302</v>
      </c>
    </row>
    <row r="45" customFormat="false" ht="15" hidden="false" customHeight="true" outlineLevel="0" collapsed="false">
      <c r="A45" s="5" t="s">
        <v>1303</v>
      </c>
      <c r="B45" s="5" t="s">
        <v>1292</v>
      </c>
      <c r="C45" s="5" t="s">
        <v>1304</v>
      </c>
      <c r="D45" s="5" t="s">
        <v>86</v>
      </c>
      <c r="E45" s="5" t="s">
        <v>1305</v>
      </c>
      <c r="F45" s="5" t="s">
        <v>787</v>
      </c>
      <c r="G45" s="54" t="s">
        <v>931</v>
      </c>
      <c r="H45" s="5" t="s">
        <v>1306</v>
      </c>
      <c r="I45" s="5" t="s">
        <v>1307</v>
      </c>
      <c r="J45" s="15" t="s">
        <v>1242</v>
      </c>
      <c r="K45" s="52" t="n">
        <v>0</v>
      </c>
      <c r="L45" s="5"/>
    </row>
    <row r="46" customFormat="false" ht="15" hidden="false" customHeight="true" outlineLevel="0" collapsed="false">
      <c r="A46" s="8" t="s">
        <v>1308</v>
      </c>
      <c r="B46" s="8" t="s">
        <v>1292</v>
      </c>
      <c r="C46" s="8" t="s">
        <v>1309</v>
      </c>
      <c r="D46" s="8" t="s">
        <v>86</v>
      </c>
      <c r="E46" s="8" t="s">
        <v>1305</v>
      </c>
      <c r="F46" s="8" t="s">
        <v>787</v>
      </c>
      <c r="G46" s="54" t="s">
        <v>931</v>
      </c>
      <c r="H46" s="8" t="s">
        <v>1310</v>
      </c>
      <c r="I46" s="8" t="s">
        <v>1311</v>
      </c>
      <c r="J46" s="17" t="s">
        <v>1242</v>
      </c>
      <c r="K46" s="53" t="n">
        <v>0</v>
      </c>
      <c r="L46" s="8"/>
    </row>
    <row r="47" customFormat="false" ht="15" hidden="false" customHeight="true" outlineLevel="0" collapsed="false">
      <c r="A47" s="5" t="s">
        <v>1312</v>
      </c>
      <c r="B47" s="5" t="s">
        <v>1292</v>
      </c>
      <c r="C47" s="5" t="s">
        <v>1313</v>
      </c>
      <c r="D47" s="5" t="s">
        <v>86</v>
      </c>
      <c r="E47" s="5" t="s">
        <v>1305</v>
      </c>
      <c r="F47" s="5" t="s">
        <v>697</v>
      </c>
      <c r="G47" s="54" t="s">
        <v>931</v>
      </c>
      <c r="H47" s="5" t="s">
        <v>1314</v>
      </c>
      <c r="I47" s="5" t="s">
        <v>1315</v>
      </c>
      <c r="J47" s="15" t="s">
        <v>1242</v>
      </c>
      <c r="K47" s="52" t="n">
        <v>0</v>
      </c>
      <c r="L47" s="5"/>
    </row>
    <row r="48" customFormat="false" ht="15" hidden="false" customHeight="true" outlineLevel="0" collapsed="false">
      <c r="A48" s="8" t="s">
        <v>1316</v>
      </c>
      <c r="B48" s="8" t="s">
        <v>1292</v>
      </c>
      <c r="C48" s="8" t="s">
        <v>1317</v>
      </c>
      <c r="D48" s="8" t="s">
        <v>86</v>
      </c>
      <c r="E48" s="8" t="s">
        <v>1305</v>
      </c>
      <c r="F48" s="8" t="s">
        <v>697</v>
      </c>
      <c r="G48" s="54" t="s">
        <v>931</v>
      </c>
      <c r="H48" s="8" t="s">
        <v>1318</v>
      </c>
      <c r="I48" s="8" t="s">
        <v>1319</v>
      </c>
      <c r="J48" s="17" t="s">
        <v>1242</v>
      </c>
      <c r="K48" s="53" t="n">
        <v>0</v>
      </c>
      <c r="L48" s="8" t="s">
        <v>1320</v>
      </c>
    </row>
    <row r="49" customFormat="false" ht="15" hidden="false" customHeight="true" outlineLevel="0" collapsed="false">
      <c r="A49" s="5" t="s">
        <v>1321</v>
      </c>
      <c r="B49" s="5" t="s">
        <v>1292</v>
      </c>
      <c r="C49" s="5" t="s">
        <v>1322</v>
      </c>
      <c r="D49" s="5" t="s">
        <v>86</v>
      </c>
      <c r="E49" s="5" t="s">
        <v>1305</v>
      </c>
      <c r="F49" s="5" t="s">
        <v>697</v>
      </c>
      <c r="G49" s="54" t="s">
        <v>931</v>
      </c>
      <c r="H49" s="5" t="s">
        <v>1323</v>
      </c>
      <c r="I49" s="5" t="s">
        <v>1324</v>
      </c>
      <c r="J49" s="15" t="s">
        <v>1242</v>
      </c>
      <c r="K49" s="52" t="n">
        <v>0</v>
      </c>
      <c r="L49" s="5"/>
    </row>
    <row r="50" customFormat="false" ht="15" hidden="false" customHeight="true" outlineLevel="0" collapsed="false">
      <c r="A50" s="51" t="s">
        <v>1325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</row>
    <row r="51" customFormat="false" ht="21.75" hidden="false" customHeight="true" outlineLevel="0" collapsed="false">
      <c r="A51" s="5" t="s">
        <v>1326</v>
      </c>
      <c r="B51" s="5" t="s">
        <v>1327</v>
      </c>
      <c r="C51" s="5" t="s">
        <v>1328</v>
      </c>
      <c r="D51" s="5" t="s">
        <v>841</v>
      </c>
      <c r="E51" s="5" t="s">
        <v>1329</v>
      </c>
      <c r="F51" s="5" t="s">
        <v>697</v>
      </c>
      <c r="G51" s="54" t="s">
        <v>931</v>
      </c>
      <c r="H51" s="5" t="s">
        <v>1330</v>
      </c>
      <c r="I51" s="5" t="s">
        <v>1331</v>
      </c>
      <c r="J51" s="15" t="s">
        <v>1242</v>
      </c>
      <c r="K51" s="52" t="n">
        <v>0</v>
      </c>
      <c r="L51" s="5"/>
    </row>
    <row r="52" customFormat="false" ht="21.75" hidden="false" customHeight="true" outlineLevel="0" collapsed="false">
      <c r="A52" s="8" t="s">
        <v>1332</v>
      </c>
      <c r="B52" s="8" t="s">
        <v>1327</v>
      </c>
      <c r="C52" s="8" t="s">
        <v>1333</v>
      </c>
      <c r="D52" s="8" t="s">
        <v>77</v>
      </c>
      <c r="E52" s="8" t="s">
        <v>1329</v>
      </c>
      <c r="F52" s="8" t="s">
        <v>718</v>
      </c>
      <c r="G52" s="54" t="s">
        <v>931</v>
      </c>
      <c r="H52" s="8" t="s">
        <v>1334</v>
      </c>
      <c r="I52" s="8" t="s">
        <v>1335</v>
      </c>
      <c r="J52" s="17" t="s">
        <v>1242</v>
      </c>
      <c r="K52" s="53" t="n">
        <v>0</v>
      </c>
      <c r="L52" s="8"/>
    </row>
    <row r="53" customFormat="false" ht="21.75" hidden="false" customHeight="true" outlineLevel="0" collapsed="false">
      <c r="A53" s="5" t="s">
        <v>1336</v>
      </c>
      <c r="B53" s="5" t="s">
        <v>1327</v>
      </c>
      <c r="C53" s="5" t="s">
        <v>1337</v>
      </c>
      <c r="D53" s="5" t="s">
        <v>841</v>
      </c>
      <c r="E53" s="5" t="s">
        <v>1329</v>
      </c>
      <c r="F53" s="5" t="s">
        <v>718</v>
      </c>
      <c r="G53" s="54" t="s">
        <v>931</v>
      </c>
      <c r="H53" s="5" t="s">
        <v>1338</v>
      </c>
      <c r="I53" s="5" t="s">
        <v>1339</v>
      </c>
      <c r="J53" s="15" t="s">
        <v>1242</v>
      </c>
      <c r="K53" s="52" t="n">
        <v>0</v>
      </c>
      <c r="L53" s="5"/>
    </row>
    <row r="54" customFormat="false" ht="15" hidden="false" customHeight="true" outlineLevel="0" collapsed="false">
      <c r="A54" s="8" t="s">
        <v>1340</v>
      </c>
      <c r="B54" s="8" t="s">
        <v>1327</v>
      </c>
      <c r="C54" s="8" t="s">
        <v>1341</v>
      </c>
      <c r="D54" s="8" t="s">
        <v>77</v>
      </c>
      <c r="E54" s="8" t="s">
        <v>1256</v>
      </c>
      <c r="F54" s="8" t="s">
        <v>718</v>
      </c>
      <c r="G54" s="54" t="s">
        <v>931</v>
      </c>
      <c r="H54" s="8" t="s">
        <v>1342</v>
      </c>
      <c r="I54" s="8" t="s">
        <v>1343</v>
      </c>
      <c r="J54" s="17" t="s">
        <v>1242</v>
      </c>
      <c r="K54" s="53" t="n">
        <v>0</v>
      </c>
      <c r="L54" s="8"/>
    </row>
    <row r="55" customFormat="false" ht="15" hidden="false" customHeight="true" outlineLevel="0" collapsed="false">
      <c r="A55" s="5" t="s">
        <v>1344</v>
      </c>
      <c r="B55" s="5" t="s">
        <v>1327</v>
      </c>
      <c r="C55" s="5" t="s">
        <v>1345</v>
      </c>
      <c r="D55" s="5" t="s">
        <v>77</v>
      </c>
      <c r="E55" s="5" t="s">
        <v>1256</v>
      </c>
      <c r="F55" s="5" t="s">
        <v>718</v>
      </c>
      <c r="G55" s="54" t="s">
        <v>931</v>
      </c>
      <c r="H55" s="5" t="s">
        <v>1346</v>
      </c>
      <c r="I55" s="5" t="s">
        <v>1347</v>
      </c>
      <c r="J55" s="15" t="s">
        <v>1242</v>
      </c>
      <c r="K55" s="52" t="n">
        <v>0</v>
      </c>
      <c r="L55" s="5"/>
    </row>
    <row r="56" customFormat="false" ht="15" hidden="false" customHeight="true" outlineLevel="0" collapsed="false">
      <c r="A56" s="51" t="s">
        <v>1348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</row>
    <row r="57" customFormat="false" ht="21.75" hidden="false" customHeight="true" outlineLevel="0" collapsed="false">
      <c r="A57" s="5" t="s">
        <v>1349</v>
      </c>
      <c r="B57" s="5" t="s">
        <v>1350</v>
      </c>
      <c r="C57" s="5" t="s">
        <v>1351</v>
      </c>
      <c r="D57" s="5" t="s">
        <v>86</v>
      </c>
      <c r="E57" s="5" t="s">
        <v>1352</v>
      </c>
      <c r="F57" s="5" t="s">
        <v>697</v>
      </c>
      <c r="G57" s="54" t="s">
        <v>931</v>
      </c>
      <c r="H57" s="5" t="s">
        <v>1353</v>
      </c>
      <c r="I57" s="5" t="s">
        <v>1354</v>
      </c>
      <c r="J57" s="15" t="s">
        <v>1242</v>
      </c>
      <c r="K57" s="52" t="n">
        <v>0</v>
      </c>
      <c r="L57" s="5" t="s">
        <v>1355</v>
      </c>
    </row>
    <row r="58" customFormat="false" ht="21.75" hidden="false" customHeight="true" outlineLevel="0" collapsed="false">
      <c r="A58" s="8" t="s">
        <v>1356</v>
      </c>
      <c r="B58" s="8" t="s">
        <v>1350</v>
      </c>
      <c r="C58" s="8" t="s">
        <v>1357</v>
      </c>
      <c r="D58" s="8" t="s">
        <v>86</v>
      </c>
      <c r="E58" s="8" t="s">
        <v>1358</v>
      </c>
      <c r="F58" s="8" t="s">
        <v>697</v>
      </c>
      <c r="G58" s="54" t="s">
        <v>931</v>
      </c>
      <c r="H58" s="8" t="s">
        <v>1359</v>
      </c>
      <c r="I58" s="8" t="s">
        <v>1360</v>
      </c>
      <c r="J58" s="17" t="s">
        <v>1242</v>
      </c>
      <c r="K58" s="53" t="n">
        <v>0</v>
      </c>
      <c r="L58" s="8"/>
    </row>
    <row r="59" customFormat="false" ht="15" hidden="false" customHeight="true" outlineLevel="0" collapsed="false">
      <c r="A59" s="5" t="s">
        <v>1361</v>
      </c>
      <c r="B59" s="5" t="s">
        <v>1350</v>
      </c>
      <c r="C59" s="5" t="s">
        <v>1362</v>
      </c>
      <c r="D59" s="5" t="s">
        <v>86</v>
      </c>
      <c r="E59" s="5" t="s">
        <v>1358</v>
      </c>
      <c r="F59" s="5" t="s">
        <v>697</v>
      </c>
      <c r="G59" s="54" t="s">
        <v>931</v>
      </c>
      <c r="H59" s="5" t="s">
        <v>1363</v>
      </c>
      <c r="I59" s="5" t="s">
        <v>1364</v>
      </c>
      <c r="J59" s="15" t="s">
        <v>1242</v>
      </c>
      <c r="K59" s="52" t="n">
        <v>0</v>
      </c>
      <c r="L59" s="5"/>
    </row>
    <row r="60" customFormat="false" ht="21.75" hidden="false" customHeight="true" outlineLevel="0" collapsed="false">
      <c r="A60" s="8" t="s">
        <v>1365</v>
      </c>
      <c r="B60" s="8" t="s">
        <v>1350</v>
      </c>
      <c r="C60" s="8" t="s">
        <v>1366</v>
      </c>
      <c r="D60" s="8" t="s">
        <v>86</v>
      </c>
      <c r="E60" s="8" t="s">
        <v>1367</v>
      </c>
      <c r="F60" s="8" t="s">
        <v>718</v>
      </c>
      <c r="G60" s="54" t="s">
        <v>931</v>
      </c>
      <c r="H60" s="8" t="s">
        <v>1368</v>
      </c>
      <c r="I60" s="8" t="s">
        <v>1369</v>
      </c>
      <c r="J60" s="17" t="s">
        <v>1242</v>
      </c>
      <c r="K60" s="53" t="n">
        <v>0</v>
      </c>
      <c r="L60" s="8"/>
    </row>
  </sheetData>
  <mergeCells count="8">
    <mergeCell ref="A1:L1"/>
    <mergeCell ref="A4:L4"/>
    <mergeCell ref="A12:L12"/>
    <mergeCell ref="A20:L20"/>
    <mergeCell ref="A30:L30"/>
    <mergeCell ref="A42:L42"/>
    <mergeCell ref="A50:L50"/>
    <mergeCell ref="A56:L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1370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1371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21.75" hidden="false" customHeight="true" outlineLevel="0" collapsed="false">
      <c r="A5" s="5" t="s">
        <v>1372</v>
      </c>
      <c r="B5" s="5" t="s">
        <v>1373</v>
      </c>
      <c r="C5" s="5" t="s">
        <v>1374</v>
      </c>
      <c r="D5" s="5" t="s">
        <v>77</v>
      </c>
      <c r="E5" s="5" t="s">
        <v>1375</v>
      </c>
      <c r="F5" s="5" t="s">
        <v>697</v>
      </c>
      <c r="G5" s="16" t="s">
        <v>84</v>
      </c>
      <c r="H5" s="5" t="s">
        <v>1376</v>
      </c>
      <c r="I5" s="5" t="s">
        <v>1377</v>
      </c>
      <c r="J5" s="15" t="s">
        <v>1378</v>
      </c>
      <c r="K5" s="52" t="n">
        <v>0</v>
      </c>
      <c r="L5" s="5"/>
    </row>
    <row r="6" customFormat="false" ht="15" hidden="false" customHeight="true" outlineLevel="0" collapsed="false">
      <c r="A6" s="8" t="s">
        <v>1379</v>
      </c>
      <c r="B6" s="8" t="s">
        <v>1373</v>
      </c>
      <c r="C6" s="8" t="s">
        <v>1380</v>
      </c>
      <c r="D6" s="8" t="s">
        <v>77</v>
      </c>
      <c r="E6" s="8" t="s">
        <v>1381</v>
      </c>
      <c r="F6" s="8" t="s">
        <v>787</v>
      </c>
      <c r="G6" s="16" t="s">
        <v>84</v>
      </c>
      <c r="H6" s="8" t="s">
        <v>1382</v>
      </c>
      <c r="I6" s="8" t="s">
        <v>1383</v>
      </c>
      <c r="J6" s="17" t="s">
        <v>1378</v>
      </c>
      <c r="K6" s="53" t="n">
        <v>0</v>
      </c>
      <c r="L6" s="8"/>
    </row>
    <row r="7" customFormat="false" ht="15" hidden="false" customHeight="true" outlineLevel="0" collapsed="false">
      <c r="A7" s="5" t="s">
        <v>1384</v>
      </c>
      <c r="B7" s="5" t="s">
        <v>1373</v>
      </c>
      <c r="C7" s="5" t="s">
        <v>1385</v>
      </c>
      <c r="D7" s="5" t="s">
        <v>77</v>
      </c>
      <c r="E7" s="5" t="s">
        <v>1283</v>
      </c>
      <c r="F7" s="5" t="s">
        <v>787</v>
      </c>
      <c r="G7" s="16" t="s">
        <v>84</v>
      </c>
      <c r="H7" s="5" t="s">
        <v>1386</v>
      </c>
      <c r="I7" s="5" t="s">
        <v>1387</v>
      </c>
      <c r="J7" s="15" t="s">
        <v>1378</v>
      </c>
      <c r="K7" s="52" t="n">
        <v>0</v>
      </c>
      <c r="L7" s="5" t="s">
        <v>1388</v>
      </c>
    </row>
    <row r="8" customFormat="false" ht="21.75" hidden="false" customHeight="true" outlineLevel="0" collapsed="false">
      <c r="A8" s="8" t="s">
        <v>1389</v>
      </c>
      <c r="B8" s="8" t="s">
        <v>1373</v>
      </c>
      <c r="C8" s="8" t="s">
        <v>1390</v>
      </c>
      <c r="D8" s="8" t="s">
        <v>77</v>
      </c>
      <c r="E8" s="8" t="s">
        <v>1294</v>
      </c>
      <c r="F8" s="8" t="s">
        <v>697</v>
      </c>
      <c r="G8" s="16" t="s">
        <v>84</v>
      </c>
      <c r="H8" s="8" t="s">
        <v>1391</v>
      </c>
      <c r="I8" s="8" t="s">
        <v>1392</v>
      </c>
      <c r="J8" s="17" t="s">
        <v>1378</v>
      </c>
      <c r="K8" s="53" t="n">
        <v>0</v>
      </c>
      <c r="L8" s="8"/>
    </row>
    <row r="9" customFormat="false" ht="15" hidden="false" customHeight="true" outlineLevel="0" collapsed="false">
      <c r="A9" s="5" t="s">
        <v>1393</v>
      </c>
      <c r="B9" s="5" t="s">
        <v>1373</v>
      </c>
      <c r="C9" s="5" t="s">
        <v>1394</v>
      </c>
      <c r="D9" s="5" t="s">
        <v>77</v>
      </c>
      <c r="E9" s="5" t="s">
        <v>1395</v>
      </c>
      <c r="F9" s="5" t="s">
        <v>697</v>
      </c>
      <c r="G9" s="16" t="s">
        <v>84</v>
      </c>
      <c r="H9" s="5" t="s">
        <v>1396</v>
      </c>
      <c r="I9" s="5" t="s">
        <v>1397</v>
      </c>
      <c r="J9" s="15" t="s">
        <v>1378</v>
      </c>
      <c r="K9" s="52" t="n">
        <v>0</v>
      </c>
      <c r="L9" s="5" t="s">
        <v>1398</v>
      </c>
    </row>
    <row r="10" customFormat="false" ht="15" hidden="false" customHeight="true" outlineLevel="0" collapsed="false">
      <c r="A10" s="8" t="s">
        <v>1399</v>
      </c>
      <c r="B10" s="8" t="s">
        <v>1373</v>
      </c>
      <c r="C10" s="8" t="s">
        <v>1400</v>
      </c>
      <c r="D10" s="8" t="s">
        <v>77</v>
      </c>
      <c r="E10" s="8" t="s">
        <v>1401</v>
      </c>
      <c r="F10" s="8" t="s">
        <v>697</v>
      </c>
      <c r="G10" s="16" t="s">
        <v>84</v>
      </c>
      <c r="H10" s="8" t="s">
        <v>1402</v>
      </c>
      <c r="I10" s="8" t="s">
        <v>1403</v>
      </c>
      <c r="J10" s="17" t="s">
        <v>1378</v>
      </c>
      <c r="K10" s="53" t="n">
        <v>0</v>
      </c>
      <c r="L10" s="8"/>
    </row>
    <row r="11" customFormat="false" ht="15" hidden="false" customHeight="true" outlineLevel="0" collapsed="false">
      <c r="A11" s="51" t="s">
        <v>1404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customFormat="false" ht="21.75" hidden="false" customHeight="true" outlineLevel="0" collapsed="false">
      <c r="A12" s="5" t="s">
        <v>1405</v>
      </c>
      <c r="B12" s="5" t="s">
        <v>1406</v>
      </c>
      <c r="C12" s="5" t="s">
        <v>1407</v>
      </c>
      <c r="D12" s="5" t="s">
        <v>77</v>
      </c>
      <c r="E12" s="5" t="s">
        <v>1375</v>
      </c>
      <c r="F12" s="5" t="s">
        <v>697</v>
      </c>
      <c r="G12" s="16" t="s">
        <v>84</v>
      </c>
      <c r="H12" s="5" t="s">
        <v>1408</v>
      </c>
      <c r="I12" s="5" t="s">
        <v>1198</v>
      </c>
      <c r="J12" s="15" t="s">
        <v>1409</v>
      </c>
      <c r="K12" s="52" t="n">
        <v>0</v>
      </c>
      <c r="L12" s="5"/>
    </row>
    <row r="13" customFormat="false" ht="21.75" hidden="false" customHeight="true" outlineLevel="0" collapsed="false">
      <c r="A13" s="8" t="s">
        <v>1410</v>
      </c>
      <c r="B13" s="8" t="s">
        <v>1406</v>
      </c>
      <c r="C13" s="8" t="s">
        <v>1411</v>
      </c>
      <c r="D13" s="8" t="s">
        <v>77</v>
      </c>
      <c r="E13" s="8" t="s">
        <v>1256</v>
      </c>
      <c r="F13" s="8" t="s">
        <v>697</v>
      </c>
      <c r="G13" s="16" t="s">
        <v>84</v>
      </c>
      <c r="H13" s="8" t="s">
        <v>1412</v>
      </c>
      <c r="I13" s="8" t="s">
        <v>1413</v>
      </c>
      <c r="J13" s="17" t="s">
        <v>1409</v>
      </c>
      <c r="K13" s="53" t="n">
        <v>0</v>
      </c>
      <c r="L13" s="8"/>
    </row>
    <row r="14" customFormat="false" ht="21.75" hidden="false" customHeight="true" outlineLevel="0" collapsed="false">
      <c r="A14" s="5" t="s">
        <v>1414</v>
      </c>
      <c r="B14" s="5" t="s">
        <v>1406</v>
      </c>
      <c r="C14" s="5" t="s">
        <v>1415</v>
      </c>
      <c r="D14" s="5" t="s">
        <v>77</v>
      </c>
      <c r="E14" s="5" t="s">
        <v>1381</v>
      </c>
      <c r="F14" s="5" t="s">
        <v>697</v>
      </c>
      <c r="G14" s="16" t="s">
        <v>84</v>
      </c>
      <c r="H14" s="5" t="s">
        <v>1416</v>
      </c>
      <c r="I14" s="5" t="s">
        <v>1417</v>
      </c>
      <c r="J14" s="15" t="s">
        <v>1409</v>
      </c>
      <c r="K14" s="52" t="n">
        <v>0</v>
      </c>
      <c r="L14" s="5"/>
    </row>
    <row r="15" customFormat="false" ht="21.75" hidden="false" customHeight="true" outlineLevel="0" collapsed="false">
      <c r="A15" s="8" t="s">
        <v>1418</v>
      </c>
      <c r="B15" s="8" t="s">
        <v>1406</v>
      </c>
      <c r="C15" s="8" t="s">
        <v>1419</v>
      </c>
      <c r="D15" s="8" t="s">
        <v>77</v>
      </c>
      <c r="E15" s="8" t="s">
        <v>1305</v>
      </c>
      <c r="F15" s="8" t="s">
        <v>787</v>
      </c>
      <c r="G15" s="16" t="s">
        <v>84</v>
      </c>
      <c r="H15" s="8" t="s">
        <v>97</v>
      </c>
      <c r="I15" s="8" t="s">
        <v>1420</v>
      </c>
      <c r="J15" s="17" t="s">
        <v>1409</v>
      </c>
      <c r="K15" s="53" t="n">
        <v>0</v>
      </c>
      <c r="L15" s="8"/>
    </row>
    <row r="16" customFormat="false" ht="15" hidden="false" customHeight="true" outlineLevel="0" collapsed="false">
      <c r="A16" s="5" t="s">
        <v>1421</v>
      </c>
      <c r="B16" s="5" t="s">
        <v>1406</v>
      </c>
      <c r="C16" s="5" t="s">
        <v>1422</v>
      </c>
      <c r="D16" s="5" t="s">
        <v>77</v>
      </c>
      <c r="E16" s="5" t="s">
        <v>1423</v>
      </c>
      <c r="F16" s="5" t="s">
        <v>697</v>
      </c>
      <c r="G16" s="16" t="s">
        <v>84</v>
      </c>
      <c r="H16" s="5" t="s">
        <v>1424</v>
      </c>
      <c r="I16" s="5" t="s">
        <v>1425</v>
      </c>
      <c r="J16" s="15" t="s">
        <v>1409</v>
      </c>
      <c r="K16" s="52" t="n">
        <v>0</v>
      </c>
      <c r="L16" s="5" t="s">
        <v>1426</v>
      </c>
    </row>
    <row r="17" customFormat="false" ht="21.75" hidden="false" customHeight="true" outlineLevel="0" collapsed="false">
      <c r="A17" s="8" t="s">
        <v>1427</v>
      </c>
      <c r="B17" s="8" t="s">
        <v>1406</v>
      </c>
      <c r="C17" s="8" t="s">
        <v>1428</v>
      </c>
      <c r="D17" s="8" t="s">
        <v>77</v>
      </c>
      <c r="E17" s="8" t="s">
        <v>1429</v>
      </c>
      <c r="F17" s="8" t="s">
        <v>718</v>
      </c>
      <c r="G17" s="16" t="s">
        <v>84</v>
      </c>
      <c r="H17" s="8" t="s">
        <v>1430</v>
      </c>
      <c r="I17" s="8" t="s">
        <v>1431</v>
      </c>
      <c r="J17" s="17" t="s">
        <v>1409</v>
      </c>
      <c r="K17" s="53" t="n">
        <v>0</v>
      </c>
      <c r="L17" s="8" t="s">
        <v>721</v>
      </c>
    </row>
    <row r="18" customFormat="false" ht="15" hidden="false" customHeight="true" outlineLevel="0" collapsed="false">
      <c r="A18" s="51" t="s">
        <v>1432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</row>
    <row r="19" customFormat="false" ht="21.75" hidden="false" customHeight="true" outlineLevel="0" collapsed="false">
      <c r="A19" s="5" t="s">
        <v>1433</v>
      </c>
      <c r="B19" s="5" t="s">
        <v>1434</v>
      </c>
      <c r="C19" s="5" t="s">
        <v>1435</v>
      </c>
      <c r="D19" s="5" t="s">
        <v>77</v>
      </c>
      <c r="E19" s="5" t="s">
        <v>1381</v>
      </c>
      <c r="F19" s="5" t="s">
        <v>697</v>
      </c>
      <c r="G19" s="54" t="s">
        <v>931</v>
      </c>
      <c r="H19" s="5" t="s">
        <v>1436</v>
      </c>
      <c r="I19" s="5" t="s">
        <v>1437</v>
      </c>
      <c r="J19" s="15" t="s">
        <v>1438</v>
      </c>
      <c r="K19" s="52" t="n">
        <v>0</v>
      </c>
      <c r="L19" s="5" t="s">
        <v>1439</v>
      </c>
    </row>
    <row r="20" customFormat="false" ht="21.75" hidden="false" customHeight="true" outlineLevel="0" collapsed="false">
      <c r="A20" s="8" t="s">
        <v>1440</v>
      </c>
      <c r="B20" s="8" t="s">
        <v>1434</v>
      </c>
      <c r="C20" s="8" t="s">
        <v>1441</v>
      </c>
      <c r="D20" s="8" t="s">
        <v>77</v>
      </c>
      <c r="E20" s="8" t="s">
        <v>1381</v>
      </c>
      <c r="F20" s="8" t="s">
        <v>697</v>
      </c>
      <c r="G20" s="54" t="s">
        <v>931</v>
      </c>
      <c r="H20" s="8" t="s">
        <v>1442</v>
      </c>
      <c r="I20" s="8" t="s">
        <v>1443</v>
      </c>
      <c r="J20" s="17" t="s">
        <v>1438</v>
      </c>
      <c r="K20" s="53" t="n">
        <v>0</v>
      </c>
      <c r="L20" s="8"/>
    </row>
    <row r="21" customFormat="false" ht="15" hidden="false" customHeight="true" outlineLevel="0" collapsed="false">
      <c r="A21" s="5" t="s">
        <v>1444</v>
      </c>
      <c r="B21" s="5" t="s">
        <v>1434</v>
      </c>
      <c r="C21" s="5" t="s">
        <v>1445</v>
      </c>
      <c r="D21" s="5" t="s">
        <v>77</v>
      </c>
      <c r="E21" s="5" t="s">
        <v>1305</v>
      </c>
      <c r="F21" s="5" t="s">
        <v>697</v>
      </c>
      <c r="G21" s="54" t="s">
        <v>931</v>
      </c>
      <c r="H21" s="5" t="s">
        <v>1446</v>
      </c>
      <c r="I21" s="5" t="s">
        <v>1447</v>
      </c>
      <c r="J21" s="15" t="s">
        <v>1438</v>
      </c>
      <c r="K21" s="52" t="n">
        <v>0</v>
      </c>
      <c r="L21" s="5"/>
    </row>
    <row r="22" customFormat="false" ht="21.75" hidden="false" customHeight="true" outlineLevel="0" collapsed="false">
      <c r="A22" s="8" t="s">
        <v>1448</v>
      </c>
      <c r="B22" s="8" t="s">
        <v>1434</v>
      </c>
      <c r="C22" s="8" t="s">
        <v>1449</v>
      </c>
      <c r="D22" s="8" t="s">
        <v>77</v>
      </c>
      <c r="E22" s="8" t="s">
        <v>1395</v>
      </c>
      <c r="F22" s="8" t="s">
        <v>697</v>
      </c>
      <c r="G22" s="54" t="s">
        <v>931</v>
      </c>
      <c r="H22" s="8" t="s">
        <v>1450</v>
      </c>
      <c r="I22" s="8" t="s">
        <v>1451</v>
      </c>
      <c r="J22" s="17" t="s">
        <v>1438</v>
      </c>
      <c r="K22" s="53" t="n">
        <v>0</v>
      </c>
      <c r="L22" s="8"/>
    </row>
    <row r="23" customFormat="false" ht="15" hidden="false" customHeight="true" outlineLevel="0" collapsed="false">
      <c r="A23" s="5" t="s">
        <v>1452</v>
      </c>
      <c r="B23" s="5" t="s">
        <v>1434</v>
      </c>
      <c r="C23" s="5" t="s">
        <v>1453</v>
      </c>
      <c r="D23" s="5" t="s">
        <v>77</v>
      </c>
      <c r="E23" s="5" t="s">
        <v>1423</v>
      </c>
      <c r="F23" s="5" t="s">
        <v>718</v>
      </c>
      <c r="G23" s="54" t="s">
        <v>931</v>
      </c>
      <c r="H23" s="5" t="s">
        <v>1454</v>
      </c>
      <c r="I23" s="5" t="s">
        <v>1455</v>
      </c>
      <c r="J23" s="15" t="s">
        <v>1438</v>
      </c>
      <c r="K23" s="52" t="n">
        <v>0</v>
      </c>
      <c r="L23" s="5"/>
    </row>
    <row r="24" customFormat="false" ht="21.75" hidden="false" customHeight="true" outlineLevel="0" collapsed="false">
      <c r="A24" s="8" t="s">
        <v>1456</v>
      </c>
      <c r="B24" s="8" t="s">
        <v>1434</v>
      </c>
      <c r="C24" s="8" t="s">
        <v>1457</v>
      </c>
      <c r="D24" s="8" t="s">
        <v>77</v>
      </c>
      <c r="E24" s="8" t="s">
        <v>1458</v>
      </c>
      <c r="F24" s="8" t="s">
        <v>718</v>
      </c>
      <c r="G24" s="54" t="s">
        <v>931</v>
      </c>
      <c r="H24" s="8" t="s">
        <v>1459</v>
      </c>
      <c r="I24" s="8" t="s">
        <v>1460</v>
      </c>
      <c r="J24" s="17" t="s">
        <v>1438</v>
      </c>
      <c r="K24" s="53" t="n">
        <v>0</v>
      </c>
      <c r="L24" s="8"/>
    </row>
    <row r="25" customFormat="false" ht="15" hidden="false" customHeight="true" outlineLevel="0" collapsed="false">
      <c r="A25" s="51" t="s">
        <v>1461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customFormat="false" ht="21.75" hidden="false" customHeight="true" outlineLevel="0" collapsed="false">
      <c r="A26" s="5" t="s">
        <v>1462</v>
      </c>
      <c r="B26" s="5" t="s">
        <v>1463</v>
      </c>
      <c r="C26" s="5" t="s">
        <v>1464</v>
      </c>
      <c r="D26" s="5" t="s">
        <v>77</v>
      </c>
      <c r="E26" s="5" t="s">
        <v>1423</v>
      </c>
      <c r="F26" s="5" t="s">
        <v>697</v>
      </c>
      <c r="G26" s="54" t="s">
        <v>931</v>
      </c>
      <c r="H26" s="5" t="s">
        <v>1465</v>
      </c>
      <c r="I26" s="5" t="s">
        <v>1466</v>
      </c>
      <c r="J26" s="15" t="s">
        <v>1438</v>
      </c>
      <c r="K26" s="52" t="n">
        <v>0</v>
      </c>
      <c r="L26" s="5"/>
    </row>
    <row r="27" customFormat="false" ht="15" hidden="false" customHeight="true" outlineLevel="0" collapsed="false">
      <c r="A27" s="8" t="s">
        <v>1467</v>
      </c>
      <c r="B27" s="8" t="s">
        <v>1463</v>
      </c>
      <c r="C27" s="8" t="s">
        <v>1468</v>
      </c>
      <c r="D27" s="8" t="s">
        <v>77</v>
      </c>
      <c r="E27" s="8" t="s">
        <v>1458</v>
      </c>
      <c r="F27" s="8" t="s">
        <v>697</v>
      </c>
      <c r="G27" s="54" t="s">
        <v>931</v>
      </c>
      <c r="H27" s="8" t="s">
        <v>1469</v>
      </c>
      <c r="I27" s="8" t="s">
        <v>1470</v>
      </c>
      <c r="J27" s="17" t="s">
        <v>1438</v>
      </c>
      <c r="K27" s="53" t="n">
        <v>0</v>
      </c>
      <c r="L27" s="8"/>
    </row>
    <row r="28" customFormat="false" ht="21.75" hidden="false" customHeight="true" outlineLevel="0" collapsed="false">
      <c r="A28" s="5" t="s">
        <v>1471</v>
      </c>
      <c r="B28" s="5" t="s">
        <v>1463</v>
      </c>
      <c r="C28" s="5" t="s">
        <v>1472</v>
      </c>
      <c r="D28" s="5" t="s">
        <v>77</v>
      </c>
      <c r="E28" s="5" t="s">
        <v>1423</v>
      </c>
      <c r="F28" s="5" t="s">
        <v>718</v>
      </c>
      <c r="G28" s="54" t="s">
        <v>931</v>
      </c>
      <c r="H28" s="5" t="s">
        <v>1473</v>
      </c>
      <c r="I28" s="5" t="s">
        <v>1474</v>
      </c>
      <c r="J28" s="15" t="s">
        <v>1438</v>
      </c>
      <c r="K28" s="52" t="n">
        <v>0</v>
      </c>
      <c r="L28" s="5"/>
    </row>
    <row r="29" customFormat="false" ht="21.75" hidden="false" customHeight="true" outlineLevel="0" collapsed="false">
      <c r="A29" s="8" t="s">
        <v>1475</v>
      </c>
      <c r="B29" s="8" t="s">
        <v>1463</v>
      </c>
      <c r="C29" s="8" t="s">
        <v>1476</v>
      </c>
      <c r="D29" s="8" t="s">
        <v>77</v>
      </c>
      <c r="E29" s="8" t="s">
        <v>1477</v>
      </c>
      <c r="F29" s="8" t="s">
        <v>718</v>
      </c>
      <c r="G29" s="54" t="s">
        <v>931</v>
      </c>
      <c r="H29" s="8" t="s">
        <v>1478</v>
      </c>
      <c r="I29" s="8" t="s">
        <v>1479</v>
      </c>
      <c r="J29" s="17" t="s">
        <v>1438</v>
      </c>
      <c r="K29" s="53" t="n">
        <v>0</v>
      </c>
      <c r="L29" s="8"/>
    </row>
    <row r="30" customFormat="false" ht="21.75" hidden="false" customHeight="true" outlineLevel="0" collapsed="false">
      <c r="A30" s="5" t="s">
        <v>1480</v>
      </c>
      <c r="B30" s="5" t="s">
        <v>1463</v>
      </c>
      <c r="C30" s="5" t="s">
        <v>1481</v>
      </c>
      <c r="D30" s="5" t="s">
        <v>77</v>
      </c>
      <c r="E30" s="5" t="s">
        <v>1482</v>
      </c>
      <c r="F30" s="5" t="s">
        <v>718</v>
      </c>
      <c r="G30" s="54" t="s">
        <v>931</v>
      </c>
      <c r="H30" s="5" t="s">
        <v>1483</v>
      </c>
      <c r="I30" s="5" t="s">
        <v>1484</v>
      </c>
      <c r="J30" s="15" t="s">
        <v>1438</v>
      </c>
      <c r="K30" s="52" t="n">
        <v>0</v>
      </c>
      <c r="L30" s="5"/>
    </row>
    <row r="31" customFormat="false" ht="15" hidden="false" customHeight="true" outlineLevel="0" collapsed="false">
      <c r="A31" s="51" t="s">
        <v>1485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</row>
    <row r="32" customFormat="false" ht="21.75" hidden="false" customHeight="true" outlineLevel="0" collapsed="false">
      <c r="A32" s="5" t="s">
        <v>1486</v>
      </c>
      <c r="B32" s="5" t="s">
        <v>1487</v>
      </c>
      <c r="C32" s="5" t="s">
        <v>1488</v>
      </c>
      <c r="D32" s="5" t="s">
        <v>77</v>
      </c>
      <c r="E32" s="5" t="s">
        <v>1381</v>
      </c>
      <c r="F32" s="5" t="s">
        <v>718</v>
      </c>
      <c r="G32" s="54" t="s">
        <v>931</v>
      </c>
      <c r="H32" s="5" t="s">
        <v>1489</v>
      </c>
      <c r="I32" s="5" t="s">
        <v>1490</v>
      </c>
      <c r="J32" s="15" t="s">
        <v>1438</v>
      </c>
      <c r="K32" s="52" t="n">
        <v>0</v>
      </c>
      <c r="L32" s="5"/>
    </row>
    <row r="33" customFormat="false" ht="15" hidden="false" customHeight="true" outlineLevel="0" collapsed="false">
      <c r="A33" s="8" t="s">
        <v>1491</v>
      </c>
      <c r="B33" s="8" t="s">
        <v>1487</v>
      </c>
      <c r="C33" s="8" t="s">
        <v>1492</v>
      </c>
      <c r="D33" s="8" t="s">
        <v>77</v>
      </c>
      <c r="E33" s="8" t="s">
        <v>1395</v>
      </c>
      <c r="F33" s="8" t="s">
        <v>718</v>
      </c>
      <c r="G33" s="54" t="s">
        <v>931</v>
      </c>
      <c r="H33" s="8" t="s">
        <v>1493</v>
      </c>
      <c r="I33" s="8" t="s">
        <v>1494</v>
      </c>
      <c r="J33" s="17" t="s">
        <v>1438</v>
      </c>
      <c r="K33" s="53" t="n">
        <v>0</v>
      </c>
      <c r="L33" s="8"/>
    </row>
    <row r="34" customFormat="false" ht="15" hidden="false" customHeight="true" outlineLevel="0" collapsed="false">
      <c r="A34" s="5" t="s">
        <v>1495</v>
      </c>
      <c r="B34" s="5" t="s">
        <v>1487</v>
      </c>
      <c r="C34" s="5" t="s">
        <v>1496</v>
      </c>
      <c r="D34" s="5" t="s">
        <v>77</v>
      </c>
      <c r="E34" s="5" t="s">
        <v>1305</v>
      </c>
      <c r="F34" s="5" t="s">
        <v>718</v>
      </c>
      <c r="G34" s="54" t="s">
        <v>931</v>
      </c>
      <c r="H34" s="5" t="s">
        <v>1497</v>
      </c>
      <c r="I34" s="5" t="s">
        <v>1498</v>
      </c>
      <c r="J34" s="15" t="s">
        <v>1438</v>
      </c>
      <c r="K34" s="52" t="n">
        <v>0</v>
      </c>
      <c r="L34" s="5"/>
    </row>
    <row r="35" customFormat="false" ht="21.75" hidden="false" customHeight="true" outlineLevel="0" collapsed="false">
      <c r="A35" s="8" t="s">
        <v>1499</v>
      </c>
      <c r="B35" s="8" t="s">
        <v>1487</v>
      </c>
      <c r="C35" s="8" t="s">
        <v>1500</v>
      </c>
      <c r="D35" s="8" t="s">
        <v>77</v>
      </c>
      <c r="E35" s="8" t="s">
        <v>1482</v>
      </c>
      <c r="F35" s="8" t="s">
        <v>718</v>
      </c>
      <c r="G35" s="54" t="s">
        <v>931</v>
      </c>
      <c r="H35" s="8" t="s">
        <v>1501</v>
      </c>
      <c r="I35" s="8" t="s">
        <v>1502</v>
      </c>
      <c r="J35" s="17" t="s">
        <v>1438</v>
      </c>
      <c r="K35" s="53" t="n">
        <v>0</v>
      </c>
      <c r="L35" s="8" t="s">
        <v>1503</v>
      </c>
    </row>
  </sheetData>
  <mergeCells count="6">
    <mergeCell ref="A1:L1"/>
    <mergeCell ref="A4:L4"/>
    <mergeCell ref="A11:L11"/>
    <mergeCell ref="A18:L18"/>
    <mergeCell ref="A25:L25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935"/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1504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1505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21.75" hidden="false" customHeight="true" outlineLevel="0" collapsed="false">
      <c r="A5" s="5" t="s">
        <v>1506</v>
      </c>
      <c r="B5" s="5" t="s">
        <v>1507</v>
      </c>
      <c r="C5" s="5" t="s">
        <v>1508</v>
      </c>
      <c r="D5" s="5" t="s">
        <v>77</v>
      </c>
      <c r="E5" s="5" t="s">
        <v>886</v>
      </c>
      <c r="F5" s="5" t="s">
        <v>697</v>
      </c>
      <c r="G5" s="16" t="s">
        <v>84</v>
      </c>
      <c r="H5" s="5" t="s">
        <v>1509</v>
      </c>
      <c r="I5" s="5" t="s">
        <v>1510</v>
      </c>
      <c r="J5" s="15" t="s">
        <v>1511</v>
      </c>
      <c r="K5" s="52" t="n">
        <v>0</v>
      </c>
      <c r="L5" s="5"/>
    </row>
    <row r="6" customFormat="false" ht="21.75" hidden="false" customHeight="true" outlineLevel="0" collapsed="false">
      <c r="A6" s="8" t="s">
        <v>1512</v>
      </c>
      <c r="B6" s="8" t="s">
        <v>1507</v>
      </c>
      <c r="C6" s="8" t="s">
        <v>1513</v>
      </c>
      <c r="D6" s="8" t="s">
        <v>77</v>
      </c>
      <c r="E6" s="8" t="s">
        <v>1180</v>
      </c>
      <c r="F6" s="8" t="s">
        <v>697</v>
      </c>
      <c r="G6" s="16" t="s">
        <v>84</v>
      </c>
      <c r="H6" s="8" t="s">
        <v>1514</v>
      </c>
      <c r="I6" s="8" t="s">
        <v>1515</v>
      </c>
      <c r="J6" s="17" t="s">
        <v>1511</v>
      </c>
      <c r="K6" s="53" t="n">
        <v>0</v>
      </c>
      <c r="L6" s="8"/>
    </row>
    <row r="7" customFormat="false" ht="15" hidden="false" customHeight="true" outlineLevel="0" collapsed="false">
      <c r="A7" s="5" t="s">
        <v>1516</v>
      </c>
      <c r="B7" s="5" t="s">
        <v>1507</v>
      </c>
      <c r="C7" s="5" t="s">
        <v>1517</v>
      </c>
      <c r="D7" s="5" t="s">
        <v>77</v>
      </c>
      <c r="E7" s="5" t="s">
        <v>1518</v>
      </c>
      <c r="F7" s="5" t="s">
        <v>697</v>
      </c>
      <c r="G7" s="16" t="s">
        <v>84</v>
      </c>
      <c r="H7" s="5" t="s">
        <v>1519</v>
      </c>
      <c r="I7" s="5" t="s">
        <v>1520</v>
      </c>
      <c r="J7" s="15" t="s">
        <v>1511</v>
      </c>
      <c r="K7" s="52" t="n">
        <v>0</v>
      </c>
      <c r="L7" s="5"/>
    </row>
    <row r="8" customFormat="false" ht="15" hidden="false" customHeight="true" outlineLevel="0" collapsed="false">
      <c r="A8" s="8" t="s">
        <v>1521</v>
      </c>
      <c r="B8" s="8" t="s">
        <v>1507</v>
      </c>
      <c r="C8" s="8" t="s">
        <v>1522</v>
      </c>
      <c r="D8" s="8" t="s">
        <v>77</v>
      </c>
      <c r="E8" s="8" t="s">
        <v>1352</v>
      </c>
      <c r="F8" s="8" t="s">
        <v>697</v>
      </c>
      <c r="G8" s="16" t="s">
        <v>84</v>
      </c>
      <c r="H8" s="8" t="s">
        <v>1523</v>
      </c>
      <c r="I8" s="8" t="s">
        <v>1524</v>
      </c>
      <c r="J8" s="17" t="s">
        <v>1511</v>
      </c>
      <c r="K8" s="53" t="n">
        <v>0</v>
      </c>
      <c r="L8" s="8" t="s">
        <v>1525</v>
      </c>
    </row>
    <row r="9" customFormat="false" ht="15" hidden="false" customHeight="true" outlineLevel="0" collapsed="false">
      <c r="A9" s="5" t="s">
        <v>1526</v>
      </c>
      <c r="B9" s="5" t="s">
        <v>1507</v>
      </c>
      <c r="C9" s="5" t="s">
        <v>1527</v>
      </c>
      <c r="D9" s="5" t="s">
        <v>77</v>
      </c>
      <c r="E9" s="5" t="s">
        <v>65</v>
      </c>
      <c r="F9" s="5" t="s">
        <v>718</v>
      </c>
      <c r="G9" s="16" t="s">
        <v>84</v>
      </c>
      <c r="H9" s="5" t="s">
        <v>1528</v>
      </c>
      <c r="I9" s="5" t="s">
        <v>1529</v>
      </c>
      <c r="J9" s="15" t="s">
        <v>1511</v>
      </c>
      <c r="K9" s="52" t="n">
        <v>0</v>
      </c>
      <c r="L9" s="5"/>
    </row>
    <row r="10" customFormat="false" ht="15" hidden="false" customHeight="true" outlineLevel="0" collapsed="false">
      <c r="A10" s="8" t="s">
        <v>1530</v>
      </c>
      <c r="B10" s="8" t="s">
        <v>1507</v>
      </c>
      <c r="C10" s="8" t="s">
        <v>1531</v>
      </c>
      <c r="D10" s="8" t="s">
        <v>77</v>
      </c>
      <c r="E10" s="8" t="s">
        <v>1458</v>
      </c>
      <c r="F10" s="8" t="s">
        <v>718</v>
      </c>
      <c r="G10" s="16" t="s">
        <v>84</v>
      </c>
      <c r="H10" s="8" t="s">
        <v>1532</v>
      </c>
      <c r="I10" s="8" t="s">
        <v>1533</v>
      </c>
      <c r="J10" s="17" t="s">
        <v>1511</v>
      </c>
      <c r="K10" s="53" t="n">
        <v>0</v>
      </c>
      <c r="L10" s="8" t="s">
        <v>1534</v>
      </c>
    </row>
    <row r="11" customFormat="false" ht="21.75" hidden="false" customHeight="true" outlineLevel="0" collapsed="false">
      <c r="A11" s="5" t="s">
        <v>1535</v>
      </c>
      <c r="B11" s="5" t="s">
        <v>1507</v>
      </c>
      <c r="C11" s="5" t="s">
        <v>1536</v>
      </c>
      <c r="D11" s="5" t="s">
        <v>77</v>
      </c>
      <c r="E11" s="5" t="s">
        <v>65</v>
      </c>
      <c r="F11" s="5" t="s">
        <v>718</v>
      </c>
      <c r="G11" s="16" t="s">
        <v>84</v>
      </c>
      <c r="H11" s="5" t="s">
        <v>1537</v>
      </c>
      <c r="I11" s="5" t="s">
        <v>1538</v>
      </c>
      <c r="J11" s="15" t="s">
        <v>1511</v>
      </c>
      <c r="K11" s="52" t="n">
        <v>0</v>
      </c>
      <c r="L11" s="5" t="s">
        <v>1539</v>
      </c>
    </row>
    <row r="12" customFormat="false" ht="15" hidden="false" customHeight="true" outlineLevel="0" collapsed="false">
      <c r="A12" s="51" t="s">
        <v>1540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customFormat="false" ht="21.75" hidden="false" customHeight="true" outlineLevel="0" collapsed="false">
      <c r="A13" s="5" t="s">
        <v>1541</v>
      </c>
      <c r="B13" s="5" t="s">
        <v>1542</v>
      </c>
      <c r="C13" s="5" t="s">
        <v>1543</v>
      </c>
      <c r="D13" s="5" t="s">
        <v>77</v>
      </c>
      <c r="E13" s="5" t="s">
        <v>1064</v>
      </c>
      <c r="F13" s="5" t="s">
        <v>697</v>
      </c>
      <c r="G13" s="16" t="s">
        <v>84</v>
      </c>
      <c r="H13" s="5" t="s">
        <v>1544</v>
      </c>
      <c r="I13" s="5" t="s">
        <v>1545</v>
      </c>
      <c r="J13" s="15" t="s">
        <v>1546</v>
      </c>
      <c r="K13" s="52" t="n">
        <v>0</v>
      </c>
      <c r="L13" s="5"/>
    </row>
    <row r="14" customFormat="false" ht="21.75" hidden="false" customHeight="true" outlineLevel="0" collapsed="false">
      <c r="A14" s="8" t="s">
        <v>1547</v>
      </c>
      <c r="B14" s="8" t="s">
        <v>1542</v>
      </c>
      <c r="C14" s="8" t="s">
        <v>1548</v>
      </c>
      <c r="D14" s="8" t="s">
        <v>77</v>
      </c>
      <c r="E14" s="8" t="s">
        <v>1549</v>
      </c>
      <c r="F14" s="8" t="s">
        <v>697</v>
      </c>
      <c r="G14" s="16" t="s">
        <v>84</v>
      </c>
      <c r="H14" s="8" t="s">
        <v>1550</v>
      </c>
      <c r="I14" s="8" t="s">
        <v>1551</v>
      </c>
      <c r="J14" s="17" t="s">
        <v>1546</v>
      </c>
      <c r="K14" s="53" t="n">
        <v>0</v>
      </c>
      <c r="L14" s="8"/>
    </row>
    <row r="15" customFormat="false" ht="21.75" hidden="false" customHeight="true" outlineLevel="0" collapsed="false">
      <c r="A15" s="5" t="s">
        <v>1552</v>
      </c>
      <c r="B15" s="5" t="s">
        <v>1542</v>
      </c>
      <c r="C15" s="5" t="s">
        <v>1553</v>
      </c>
      <c r="D15" s="5" t="s">
        <v>77</v>
      </c>
      <c r="E15" s="5" t="s">
        <v>1554</v>
      </c>
      <c r="F15" s="5" t="s">
        <v>697</v>
      </c>
      <c r="G15" s="16" t="s">
        <v>84</v>
      </c>
      <c r="H15" s="5" t="s">
        <v>1550</v>
      </c>
      <c r="I15" s="5" t="s">
        <v>1555</v>
      </c>
      <c r="J15" s="15" t="s">
        <v>1546</v>
      </c>
      <c r="K15" s="52" t="n">
        <v>0</v>
      </c>
      <c r="L15" s="5"/>
    </row>
    <row r="16" customFormat="false" ht="15" hidden="false" customHeight="true" outlineLevel="0" collapsed="false">
      <c r="A16" s="8" t="s">
        <v>1556</v>
      </c>
      <c r="B16" s="8" t="s">
        <v>1542</v>
      </c>
      <c r="C16" s="8" t="s">
        <v>1557</v>
      </c>
      <c r="D16" s="8" t="s">
        <v>77</v>
      </c>
      <c r="E16" s="8" t="s">
        <v>1549</v>
      </c>
      <c r="F16" s="8" t="s">
        <v>718</v>
      </c>
      <c r="G16" s="16" t="s">
        <v>84</v>
      </c>
      <c r="H16" s="8" t="s">
        <v>1558</v>
      </c>
      <c r="I16" s="8" t="s">
        <v>1559</v>
      </c>
      <c r="J16" s="17" t="s">
        <v>1546</v>
      </c>
      <c r="K16" s="53" t="n">
        <v>0</v>
      </c>
      <c r="L16" s="8"/>
    </row>
    <row r="17" customFormat="false" ht="15" hidden="false" customHeight="true" outlineLevel="0" collapsed="false">
      <c r="A17" s="5" t="s">
        <v>1560</v>
      </c>
      <c r="B17" s="5" t="s">
        <v>1542</v>
      </c>
      <c r="C17" s="5" t="s">
        <v>1561</v>
      </c>
      <c r="D17" s="5" t="s">
        <v>77</v>
      </c>
      <c r="E17" s="5" t="s">
        <v>35</v>
      </c>
      <c r="F17" s="5" t="s">
        <v>697</v>
      </c>
      <c r="G17" s="16" t="s">
        <v>84</v>
      </c>
      <c r="H17" s="5" t="s">
        <v>1562</v>
      </c>
      <c r="I17" s="5" t="s">
        <v>1563</v>
      </c>
      <c r="J17" s="15" t="s">
        <v>1546</v>
      </c>
      <c r="K17" s="52" t="n">
        <v>0</v>
      </c>
      <c r="L17" s="5"/>
    </row>
    <row r="18" customFormat="false" ht="15" hidden="false" customHeight="true" outlineLevel="0" collapsed="false">
      <c r="A18" s="8" t="s">
        <v>1564</v>
      </c>
      <c r="B18" s="8" t="s">
        <v>1542</v>
      </c>
      <c r="C18" s="8" t="s">
        <v>1565</v>
      </c>
      <c r="D18" s="8" t="s">
        <v>77</v>
      </c>
      <c r="E18" s="8" t="s">
        <v>1549</v>
      </c>
      <c r="F18" s="8" t="s">
        <v>718</v>
      </c>
      <c r="G18" s="16" t="s">
        <v>84</v>
      </c>
      <c r="H18" s="8" t="s">
        <v>1566</v>
      </c>
      <c r="I18" s="8" t="s">
        <v>1567</v>
      </c>
      <c r="J18" s="17" t="s">
        <v>1546</v>
      </c>
      <c r="K18" s="53" t="n">
        <v>0</v>
      </c>
      <c r="L18" s="8" t="s">
        <v>1568</v>
      </c>
    </row>
    <row r="19" customFormat="false" ht="15" hidden="false" customHeight="true" outlineLevel="0" collapsed="false">
      <c r="A19" s="5" t="s">
        <v>1569</v>
      </c>
      <c r="B19" s="5" t="s">
        <v>1542</v>
      </c>
      <c r="C19" s="5" t="s">
        <v>1570</v>
      </c>
      <c r="D19" s="5" t="s">
        <v>77</v>
      </c>
      <c r="E19" s="5" t="s">
        <v>65</v>
      </c>
      <c r="F19" s="5" t="s">
        <v>718</v>
      </c>
      <c r="G19" s="16" t="s">
        <v>84</v>
      </c>
      <c r="H19" s="5" t="s">
        <v>1571</v>
      </c>
      <c r="I19" s="5" t="s">
        <v>1572</v>
      </c>
      <c r="J19" s="15" t="s">
        <v>1546</v>
      </c>
      <c r="K19" s="52" t="n">
        <v>0</v>
      </c>
      <c r="L19" s="5" t="s">
        <v>1573</v>
      </c>
    </row>
    <row r="20" customFormat="false" ht="15" hidden="false" customHeight="true" outlineLevel="0" collapsed="false">
      <c r="A20" s="8" t="s">
        <v>1574</v>
      </c>
      <c r="B20" s="8" t="s">
        <v>1542</v>
      </c>
      <c r="C20" s="8" t="s">
        <v>1575</v>
      </c>
      <c r="D20" s="8" t="s">
        <v>77</v>
      </c>
      <c r="E20" s="8" t="s">
        <v>1549</v>
      </c>
      <c r="F20" s="8" t="s">
        <v>697</v>
      </c>
      <c r="G20" s="16" t="s">
        <v>84</v>
      </c>
      <c r="H20" s="8" t="s">
        <v>1576</v>
      </c>
      <c r="I20" s="8" t="s">
        <v>1577</v>
      </c>
      <c r="J20" s="17" t="s">
        <v>1546</v>
      </c>
      <c r="K20" s="53" t="n">
        <v>0</v>
      </c>
      <c r="L20" s="8"/>
    </row>
    <row r="21" customFormat="false" ht="15" hidden="false" customHeight="true" outlineLevel="0" collapsed="false">
      <c r="A21" s="51" t="s">
        <v>1578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customFormat="false" ht="21.75" hidden="false" customHeight="true" outlineLevel="0" collapsed="false">
      <c r="A22" s="5" t="s">
        <v>1579</v>
      </c>
      <c r="B22" s="5" t="s">
        <v>1580</v>
      </c>
      <c r="C22" s="5" t="s">
        <v>1581</v>
      </c>
      <c r="D22" s="5" t="s">
        <v>77</v>
      </c>
      <c r="E22" s="5" t="s">
        <v>886</v>
      </c>
      <c r="F22" s="5" t="s">
        <v>718</v>
      </c>
      <c r="G22" s="16" t="s">
        <v>84</v>
      </c>
      <c r="H22" s="5" t="s">
        <v>1582</v>
      </c>
      <c r="I22" s="5" t="s">
        <v>1583</v>
      </c>
      <c r="J22" s="15" t="s">
        <v>1546</v>
      </c>
      <c r="K22" s="52" t="n">
        <v>0</v>
      </c>
      <c r="L22" s="5" t="s">
        <v>1584</v>
      </c>
    </row>
    <row r="23" customFormat="false" ht="15" hidden="false" customHeight="true" outlineLevel="0" collapsed="false">
      <c r="A23" s="8" t="s">
        <v>1585</v>
      </c>
      <c r="B23" s="8" t="s">
        <v>1580</v>
      </c>
      <c r="C23" s="8" t="s">
        <v>1586</v>
      </c>
      <c r="D23" s="8" t="s">
        <v>77</v>
      </c>
      <c r="E23" s="8" t="s">
        <v>1549</v>
      </c>
      <c r="F23" s="8" t="s">
        <v>718</v>
      </c>
      <c r="G23" s="16" t="s">
        <v>84</v>
      </c>
      <c r="H23" s="8" t="s">
        <v>1587</v>
      </c>
      <c r="I23" s="8" t="s">
        <v>1588</v>
      </c>
      <c r="J23" s="17" t="s">
        <v>1546</v>
      </c>
      <c r="K23" s="53" t="n">
        <v>0</v>
      </c>
      <c r="L23" s="8"/>
    </row>
    <row r="24" customFormat="false" ht="15" hidden="false" customHeight="true" outlineLevel="0" collapsed="false">
      <c r="A24" s="5" t="s">
        <v>1589</v>
      </c>
      <c r="B24" s="5" t="s">
        <v>1580</v>
      </c>
      <c r="C24" s="5" t="s">
        <v>1590</v>
      </c>
      <c r="D24" s="5" t="s">
        <v>77</v>
      </c>
      <c r="E24" s="5" t="s">
        <v>35</v>
      </c>
      <c r="F24" s="5" t="s">
        <v>718</v>
      </c>
      <c r="G24" s="16" t="s">
        <v>84</v>
      </c>
      <c r="H24" s="5" t="s">
        <v>1591</v>
      </c>
      <c r="I24" s="5" t="s">
        <v>1592</v>
      </c>
      <c r="J24" s="15" t="s">
        <v>1546</v>
      </c>
      <c r="K24" s="52" t="n">
        <v>0</v>
      </c>
      <c r="L24" s="5"/>
    </row>
    <row r="25" customFormat="false" ht="15" hidden="false" customHeight="true" outlineLevel="0" collapsed="false">
      <c r="A25" s="8" t="s">
        <v>1593</v>
      </c>
      <c r="B25" s="8" t="s">
        <v>1580</v>
      </c>
      <c r="C25" s="8" t="s">
        <v>1594</v>
      </c>
      <c r="D25" s="8" t="s">
        <v>77</v>
      </c>
      <c r="E25" s="8" t="s">
        <v>1554</v>
      </c>
      <c r="F25" s="8" t="s">
        <v>718</v>
      </c>
      <c r="G25" s="16" t="s">
        <v>84</v>
      </c>
      <c r="H25" s="8" t="s">
        <v>1595</v>
      </c>
      <c r="I25" s="8" t="s">
        <v>1596</v>
      </c>
      <c r="J25" s="17" t="s">
        <v>1546</v>
      </c>
      <c r="K25" s="53" t="n">
        <v>0</v>
      </c>
      <c r="L25" s="8"/>
    </row>
    <row r="26" customFormat="false" ht="15" hidden="false" customHeight="true" outlineLevel="0" collapsed="false">
      <c r="A26" s="5" t="s">
        <v>1597</v>
      </c>
      <c r="B26" s="5" t="s">
        <v>1580</v>
      </c>
      <c r="C26" s="5" t="s">
        <v>1598</v>
      </c>
      <c r="D26" s="5" t="s">
        <v>77</v>
      </c>
      <c r="E26" s="5" t="s">
        <v>1554</v>
      </c>
      <c r="F26" s="5" t="s">
        <v>718</v>
      </c>
      <c r="G26" s="16" t="s">
        <v>84</v>
      </c>
      <c r="H26" s="5" t="s">
        <v>1599</v>
      </c>
      <c r="I26" s="5" t="s">
        <v>1600</v>
      </c>
      <c r="J26" s="15" t="s">
        <v>1546</v>
      </c>
      <c r="K26" s="52" t="n">
        <v>0</v>
      </c>
      <c r="L26" s="5" t="s">
        <v>1601</v>
      </c>
    </row>
    <row r="27" customFormat="false" ht="15" hidden="false" customHeight="true" outlineLevel="0" collapsed="false">
      <c r="A27" s="51" t="s">
        <v>1602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customFormat="false" ht="21.75" hidden="false" customHeight="true" outlineLevel="0" collapsed="false">
      <c r="A28" s="5" t="s">
        <v>1603</v>
      </c>
      <c r="B28" s="5" t="s">
        <v>1604</v>
      </c>
      <c r="C28" s="5" t="s">
        <v>1605</v>
      </c>
      <c r="D28" s="5" t="s">
        <v>77</v>
      </c>
      <c r="E28" s="5" t="s">
        <v>1215</v>
      </c>
      <c r="F28" s="5" t="s">
        <v>718</v>
      </c>
      <c r="G28" s="16" t="s">
        <v>84</v>
      </c>
      <c r="H28" s="5" t="s">
        <v>1606</v>
      </c>
      <c r="I28" s="5" t="s">
        <v>1607</v>
      </c>
      <c r="J28" s="15" t="s">
        <v>1608</v>
      </c>
      <c r="K28" s="52" t="n">
        <v>0</v>
      </c>
      <c r="L28" s="5"/>
    </row>
    <row r="29" customFormat="false" ht="15" hidden="false" customHeight="true" outlineLevel="0" collapsed="false">
      <c r="A29" s="8" t="s">
        <v>1609</v>
      </c>
      <c r="B29" s="8" t="s">
        <v>1604</v>
      </c>
      <c r="C29" s="8" t="s">
        <v>1610</v>
      </c>
      <c r="D29" s="8" t="s">
        <v>77</v>
      </c>
      <c r="E29" s="8" t="s">
        <v>1611</v>
      </c>
      <c r="F29" s="8" t="s">
        <v>718</v>
      </c>
      <c r="G29" s="16" t="s">
        <v>84</v>
      </c>
      <c r="H29" s="8" t="s">
        <v>1612</v>
      </c>
      <c r="I29" s="8" t="s">
        <v>1613</v>
      </c>
      <c r="J29" s="17" t="s">
        <v>1608</v>
      </c>
      <c r="K29" s="53" t="n">
        <v>0</v>
      </c>
      <c r="L29" s="8"/>
    </row>
    <row r="30" customFormat="false" ht="15" hidden="false" customHeight="true" outlineLevel="0" collapsed="false">
      <c r="A30" s="5" t="s">
        <v>1614</v>
      </c>
      <c r="B30" s="5" t="s">
        <v>1604</v>
      </c>
      <c r="C30" s="5" t="s">
        <v>1615</v>
      </c>
      <c r="D30" s="5" t="s">
        <v>77</v>
      </c>
      <c r="E30" s="5" t="s">
        <v>1611</v>
      </c>
      <c r="F30" s="5" t="s">
        <v>718</v>
      </c>
      <c r="G30" s="16" t="s">
        <v>84</v>
      </c>
      <c r="H30" s="5" t="s">
        <v>1616</v>
      </c>
      <c r="I30" s="5" t="s">
        <v>1617</v>
      </c>
      <c r="J30" s="15" t="s">
        <v>1608</v>
      </c>
      <c r="K30" s="52" t="n">
        <v>0</v>
      </c>
      <c r="L30" s="5" t="s">
        <v>1618</v>
      </c>
    </row>
    <row r="31" customFormat="false" ht="15" hidden="false" customHeight="true" outlineLevel="0" collapsed="false">
      <c r="A31" s="8" t="s">
        <v>1619</v>
      </c>
      <c r="B31" s="8" t="s">
        <v>1604</v>
      </c>
      <c r="C31" s="8" t="s">
        <v>1620</v>
      </c>
      <c r="D31" s="8" t="s">
        <v>77</v>
      </c>
      <c r="E31" s="8" t="s">
        <v>1611</v>
      </c>
      <c r="F31" s="8" t="s">
        <v>718</v>
      </c>
      <c r="G31" s="16" t="s">
        <v>84</v>
      </c>
      <c r="H31" s="8" t="s">
        <v>1621</v>
      </c>
      <c r="I31" s="8" t="s">
        <v>1622</v>
      </c>
      <c r="J31" s="17" t="s">
        <v>1608</v>
      </c>
      <c r="K31" s="53" t="n">
        <v>0</v>
      </c>
      <c r="L31" s="8" t="s">
        <v>1100</v>
      </c>
    </row>
    <row r="32" customFormat="false" ht="15" hidden="false" customHeight="true" outlineLevel="0" collapsed="false">
      <c r="A32" s="51" t="s">
        <v>1623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</row>
    <row r="33" customFormat="false" ht="21.75" hidden="false" customHeight="true" outlineLevel="0" collapsed="false">
      <c r="A33" s="5" t="s">
        <v>1624</v>
      </c>
      <c r="B33" s="5" t="s">
        <v>1625</v>
      </c>
      <c r="C33" s="5" t="s">
        <v>1626</v>
      </c>
      <c r="D33" s="5" t="s">
        <v>77</v>
      </c>
      <c r="E33" s="5" t="s">
        <v>1627</v>
      </c>
      <c r="F33" s="5" t="s">
        <v>697</v>
      </c>
      <c r="G33" s="16" t="s">
        <v>84</v>
      </c>
      <c r="H33" s="5" t="s">
        <v>1628</v>
      </c>
      <c r="I33" s="5" t="s">
        <v>1629</v>
      </c>
      <c r="J33" s="15" t="s">
        <v>1608</v>
      </c>
      <c r="K33" s="52" t="n">
        <v>0</v>
      </c>
      <c r="L33" s="5" t="s">
        <v>1100</v>
      </c>
    </row>
    <row r="34" customFormat="false" ht="15" hidden="false" customHeight="true" outlineLevel="0" collapsed="false">
      <c r="A34" s="8" t="s">
        <v>1630</v>
      </c>
      <c r="B34" s="8" t="s">
        <v>1625</v>
      </c>
      <c r="C34" s="8" t="s">
        <v>1631</v>
      </c>
      <c r="D34" s="8" t="s">
        <v>77</v>
      </c>
      <c r="E34" s="8" t="s">
        <v>1632</v>
      </c>
      <c r="F34" s="8" t="s">
        <v>697</v>
      </c>
      <c r="G34" s="16" t="s">
        <v>84</v>
      </c>
      <c r="H34" s="8" t="s">
        <v>1633</v>
      </c>
      <c r="I34" s="8" t="s">
        <v>1634</v>
      </c>
      <c r="J34" s="17" t="s">
        <v>1608</v>
      </c>
      <c r="K34" s="53" t="n">
        <v>0</v>
      </c>
      <c r="L34" s="8"/>
    </row>
    <row r="35" customFormat="false" ht="15" hidden="false" customHeight="true" outlineLevel="0" collapsed="false">
      <c r="A35" s="5" t="s">
        <v>1635</v>
      </c>
      <c r="B35" s="5" t="s">
        <v>1625</v>
      </c>
      <c r="C35" s="5" t="s">
        <v>1636</v>
      </c>
      <c r="D35" s="5" t="s">
        <v>77</v>
      </c>
      <c r="E35" s="5" t="s">
        <v>1375</v>
      </c>
      <c r="F35" s="5" t="s">
        <v>718</v>
      </c>
      <c r="G35" s="16" t="s">
        <v>84</v>
      </c>
      <c r="H35" s="5" t="s">
        <v>1637</v>
      </c>
      <c r="I35" s="5" t="s">
        <v>1638</v>
      </c>
      <c r="J35" s="15" t="s">
        <v>1608</v>
      </c>
      <c r="K35" s="52" t="n">
        <v>0</v>
      </c>
      <c r="L35" s="5"/>
    </row>
    <row r="36" customFormat="false" ht="21.75" hidden="false" customHeight="true" outlineLevel="0" collapsed="false">
      <c r="A36" s="8" t="s">
        <v>1639</v>
      </c>
      <c r="B36" s="8" t="s">
        <v>1625</v>
      </c>
      <c r="C36" s="8" t="s">
        <v>1640</v>
      </c>
      <c r="D36" s="8" t="s">
        <v>77</v>
      </c>
      <c r="E36" s="8" t="s">
        <v>1329</v>
      </c>
      <c r="F36" s="8" t="s">
        <v>697</v>
      </c>
      <c r="G36" s="16" t="s">
        <v>84</v>
      </c>
      <c r="H36" s="8" t="s">
        <v>1641</v>
      </c>
      <c r="I36" s="8" t="s">
        <v>1642</v>
      </c>
      <c r="J36" s="17" t="s">
        <v>1608</v>
      </c>
      <c r="K36" s="53" t="n">
        <v>0</v>
      </c>
      <c r="L36" s="8"/>
    </row>
    <row r="37" customFormat="false" ht="21.75" hidden="false" customHeight="true" outlineLevel="0" collapsed="false">
      <c r="A37" s="5" t="s">
        <v>1643</v>
      </c>
      <c r="B37" s="5" t="s">
        <v>1625</v>
      </c>
      <c r="C37" s="5" t="s">
        <v>1644</v>
      </c>
      <c r="D37" s="5" t="s">
        <v>77</v>
      </c>
      <c r="E37" s="5" t="s">
        <v>1256</v>
      </c>
      <c r="F37" s="5" t="s">
        <v>787</v>
      </c>
      <c r="G37" s="16" t="s">
        <v>84</v>
      </c>
      <c r="H37" s="5" t="s">
        <v>1645</v>
      </c>
      <c r="I37" s="5" t="s">
        <v>1646</v>
      </c>
      <c r="J37" s="15" t="s">
        <v>1608</v>
      </c>
      <c r="K37" s="52" t="n">
        <v>0</v>
      </c>
      <c r="L37" s="5" t="s">
        <v>1647</v>
      </c>
    </row>
    <row r="38" customFormat="false" ht="15" hidden="false" customHeight="true" outlineLevel="0" collapsed="false">
      <c r="A38" s="8" t="s">
        <v>1648</v>
      </c>
      <c r="B38" s="8" t="s">
        <v>1625</v>
      </c>
      <c r="C38" s="8" t="s">
        <v>1649</v>
      </c>
      <c r="D38" s="8" t="s">
        <v>77</v>
      </c>
      <c r="E38" s="8" t="s">
        <v>1650</v>
      </c>
      <c r="F38" s="8" t="s">
        <v>718</v>
      </c>
      <c r="G38" s="16" t="s">
        <v>84</v>
      </c>
      <c r="H38" s="8" t="s">
        <v>1651</v>
      </c>
      <c r="I38" s="8" t="s">
        <v>1652</v>
      </c>
      <c r="J38" s="17" t="s">
        <v>1608</v>
      </c>
      <c r="K38" s="53" t="n">
        <v>0</v>
      </c>
      <c r="L38" s="8" t="s">
        <v>1653</v>
      </c>
    </row>
    <row r="39" customFormat="false" ht="15" hidden="false" customHeight="true" outlineLevel="0" collapsed="false">
      <c r="A39" s="51" t="s">
        <v>1654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0" customFormat="false" ht="21.75" hidden="false" customHeight="true" outlineLevel="0" collapsed="false">
      <c r="A40" s="5" t="s">
        <v>1655</v>
      </c>
      <c r="B40" s="5" t="s">
        <v>1656</v>
      </c>
      <c r="C40" s="5" t="s">
        <v>1657</v>
      </c>
      <c r="D40" s="5" t="s">
        <v>77</v>
      </c>
      <c r="E40" s="5" t="s">
        <v>1658</v>
      </c>
      <c r="F40" s="5" t="s">
        <v>697</v>
      </c>
      <c r="G40" s="54" t="s">
        <v>931</v>
      </c>
      <c r="H40" s="5" t="s">
        <v>1659</v>
      </c>
      <c r="I40" s="5" t="s">
        <v>1660</v>
      </c>
      <c r="J40" s="15" t="s">
        <v>1661</v>
      </c>
      <c r="K40" s="52" t="n">
        <v>0</v>
      </c>
      <c r="L40" s="5"/>
    </row>
    <row r="41" customFormat="false" ht="21.75" hidden="false" customHeight="true" outlineLevel="0" collapsed="false">
      <c r="A41" s="8" t="s">
        <v>1662</v>
      </c>
      <c r="B41" s="8" t="s">
        <v>1656</v>
      </c>
      <c r="C41" s="8" t="s">
        <v>1663</v>
      </c>
      <c r="D41" s="8" t="s">
        <v>77</v>
      </c>
      <c r="E41" s="8" t="s">
        <v>1549</v>
      </c>
      <c r="F41" s="8" t="s">
        <v>697</v>
      </c>
      <c r="G41" s="54" t="s">
        <v>931</v>
      </c>
      <c r="H41" s="8" t="s">
        <v>1664</v>
      </c>
      <c r="I41" s="8" t="s">
        <v>1665</v>
      </c>
      <c r="J41" s="17" t="s">
        <v>1661</v>
      </c>
      <c r="K41" s="53" t="n">
        <v>0</v>
      </c>
      <c r="L41" s="8"/>
    </row>
    <row r="42" customFormat="false" ht="21.75" hidden="false" customHeight="true" outlineLevel="0" collapsed="false">
      <c r="A42" s="5" t="s">
        <v>1666</v>
      </c>
      <c r="B42" s="5" t="s">
        <v>1656</v>
      </c>
      <c r="C42" s="5" t="s">
        <v>1667</v>
      </c>
      <c r="D42" s="5" t="s">
        <v>77</v>
      </c>
      <c r="E42" s="5" t="s">
        <v>65</v>
      </c>
      <c r="F42" s="5" t="s">
        <v>697</v>
      </c>
      <c r="G42" s="54" t="s">
        <v>931</v>
      </c>
      <c r="H42" s="5" t="s">
        <v>1668</v>
      </c>
      <c r="I42" s="5" t="s">
        <v>1669</v>
      </c>
      <c r="J42" s="15" t="s">
        <v>1661</v>
      </c>
      <c r="K42" s="52" t="n">
        <v>0</v>
      </c>
      <c r="L42" s="5"/>
    </row>
    <row r="43" customFormat="false" ht="21.75" hidden="false" customHeight="true" outlineLevel="0" collapsed="false">
      <c r="A43" s="8" t="s">
        <v>1670</v>
      </c>
      <c r="B43" s="8" t="s">
        <v>1656</v>
      </c>
      <c r="C43" s="8" t="s">
        <v>1671</v>
      </c>
      <c r="D43" s="8" t="s">
        <v>77</v>
      </c>
      <c r="E43" s="8" t="s">
        <v>1650</v>
      </c>
      <c r="F43" s="8" t="s">
        <v>697</v>
      </c>
      <c r="G43" s="54" t="s">
        <v>931</v>
      </c>
      <c r="H43" s="8" t="s">
        <v>1672</v>
      </c>
      <c r="I43" s="8" t="s">
        <v>1673</v>
      </c>
      <c r="J43" s="17" t="s">
        <v>1661</v>
      </c>
      <c r="K43" s="53" t="n">
        <v>0</v>
      </c>
      <c r="L43" s="8"/>
    </row>
    <row r="44" customFormat="false" ht="15" hidden="false" customHeight="true" outlineLevel="0" collapsed="false">
      <c r="A44" s="5" t="s">
        <v>1674</v>
      </c>
      <c r="B44" s="5" t="s">
        <v>1656</v>
      </c>
      <c r="C44" s="5" t="s">
        <v>1675</v>
      </c>
      <c r="D44" s="5" t="s">
        <v>77</v>
      </c>
      <c r="E44" s="5" t="s">
        <v>1650</v>
      </c>
      <c r="F44" s="5" t="s">
        <v>718</v>
      </c>
      <c r="G44" s="54" t="s">
        <v>931</v>
      </c>
      <c r="H44" s="5" t="s">
        <v>1676</v>
      </c>
      <c r="I44" s="5" t="s">
        <v>1677</v>
      </c>
      <c r="J44" s="15" t="s">
        <v>1661</v>
      </c>
      <c r="K44" s="52" t="n">
        <v>0</v>
      </c>
      <c r="L44" s="5" t="s">
        <v>1678</v>
      </c>
    </row>
    <row r="45" customFormat="false" ht="15" hidden="false" customHeight="true" outlineLevel="0" collapsed="false">
      <c r="A45" s="51" t="s">
        <v>1679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</row>
    <row r="46" customFormat="false" ht="15" hidden="false" customHeight="true" outlineLevel="0" collapsed="false">
      <c r="A46" s="5" t="s">
        <v>1680</v>
      </c>
      <c r="B46" s="5" t="s">
        <v>1681</v>
      </c>
      <c r="C46" s="5" t="s">
        <v>1682</v>
      </c>
      <c r="D46" s="5" t="s">
        <v>77</v>
      </c>
      <c r="E46" s="5" t="s">
        <v>1429</v>
      </c>
      <c r="F46" s="5" t="s">
        <v>718</v>
      </c>
      <c r="G46" s="54" t="s">
        <v>931</v>
      </c>
      <c r="H46" s="5" t="s">
        <v>1683</v>
      </c>
      <c r="I46" s="5" t="s">
        <v>1684</v>
      </c>
      <c r="J46" s="15" t="s">
        <v>1661</v>
      </c>
      <c r="K46" s="52" t="n">
        <v>0</v>
      </c>
      <c r="L46" s="5"/>
    </row>
    <row r="47" customFormat="false" ht="21.75" hidden="false" customHeight="true" outlineLevel="0" collapsed="false">
      <c r="A47" s="8" t="s">
        <v>1685</v>
      </c>
      <c r="B47" s="8" t="s">
        <v>1681</v>
      </c>
      <c r="C47" s="8" t="s">
        <v>1686</v>
      </c>
      <c r="D47" s="8" t="s">
        <v>77</v>
      </c>
      <c r="E47" s="8" t="s">
        <v>1305</v>
      </c>
      <c r="F47" s="8" t="s">
        <v>718</v>
      </c>
      <c r="G47" s="54" t="s">
        <v>931</v>
      </c>
      <c r="H47" s="8" t="s">
        <v>1687</v>
      </c>
      <c r="I47" s="8" t="s">
        <v>1688</v>
      </c>
      <c r="J47" s="17" t="s">
        <v>1661</v>
      </c>
      <c r="K47" s="53" t="n">
        <v>0</v>
      </c>
      <c r="L47" s="8"/>
    </row>
    <row r="48" customFormat="false" ht="21.75" hidden="false" customHeight="true" outlineLevel="0" collapsed="false">
      <c r="A48" s="5" t="s">
        <v>1689</v>
      </c>
      <c r="B48" s="5" t="s">
        <v>1681</v>
      </c>
      <c r="C48" s="5" t="s">
        <v>1690</v>
      </c>
      <c r="D48" s="5" t="s">
        <v>77</v>
      </c>
      <c r="E48" s="5" t="s">
        <v>1423</v>
      </c>
      <c r="F48" s="5" t="s">
        <v>718</v>
      </c>
      <c r="G48" s="54" t="s">
        <v>931</v>
      </c>
      <c r="H48" s="5" t="s">
        <v>1691</v>
      </c>
      <c r="I48" s="5" t="s">
        <v>1692</v>
      </c>
      <c r="J48" s="15" t="s">
        <v>1661</v>
      </c>
      <c r="K48" s="52" t="n">
        <v>0</v>
      </c>
      <c r="L48" s="5"/>
    </row>
    <row r="49" customFormat="false" ht="15" hidden="false" customHeight="true" outlineLevel="0" collapsed="false">
      <c r="A49" s="8" t="s">
        <v>1693</v>
      </c>
      <c r="B49" s="8" t="s">
        <v>1681</v>
      </c>
      <c r="C49" s="8" t="s">
        <v>1694</v>
      </c>
      <c r="D49" s="8" t="s">
        <v>77</v>
      </c>
      <c r="E49" s="8" t="s">
        <v>1650</v>
      </c>
      <c r="F49" s="8" t="s">
        <v>718</v>
      </c>
      <c r="G49" s="54" t="s">
        <v>931</v>
      </c>
      <c r="H49" s="8" t="s">
        <v>1695</v>
      </c>
      <c r="I49" s="8" t="s">
        <v>1696</v>
      </c>
      <c r="J49" s="17" t="s">
        <v>1661</v>
      </c>
      <c r="K49" s="53" t="n">
        <v>0</v>
      </c>
      <c r="L49" s="8"/>
    </row>
  </sheetData>
  <mergeCells count="8">
    <mergeCell ref="A1:L1"/>
    <mergeCell ref="A4:L4"/>
    <mergeCell ref="A12:L12"/>
    <mergeCell ref="A21:L21"/>
    <mergeCell ref="A27:L27"/>
    <mergeCell ref="A32:L32"/>
    <mergeCell ref="A39:L39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95548"/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1697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1698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15" hidden="false" customHeight="true" outlineLevel="0" collapsed="false">
      <c r="A5" s="5" t="s">
        <v>1699</v>
      </c>
      <c r="B5" s="5" t="s">
        <v>1700</v>
      </c>
      <c r="C5" s="5" t="s">
        <v>1701</v>
      </c>
      <c r="D5" s="5" t="s">
        <v>77</v>
      </c>
      <c r="E5" s="5" t="s">
        <v>1423</v>
      </c>
      <c r="F5" s="5" t="s">
        <v>787</v>
      </c>
      <c r="G5" s="16" t="s">
        <v>84</v>
      </c>
      <c r="H5" s="5" t="s">
        <v>1702</v>
      </c>
      <c r="I5" s="5" t="s">
        <v>1703</v>
      </c>
      <c r="J5" s="15" t="s">
        <v>1704</v>
      </c>
      <c r="K5" s="52" t="n">
        <v>0</v>
      </c>
      <c r="L5" s="5"/>
    </row>
    <row r="6" customFormat="false" ht="21.75" hidden="false" customHeight="true" outlineLevel="0" collapsed="false">
      <c r="A6" s="8" t="s">
        <v>1705</v>
      </c>
      <c r="B6" s="8" t="s">
        <v>1700</v>
      </c>
      <c r="C6" s="8" t="s">
        <v>1706</v>
      </c>
      <c r="D6" s="8" t="s">
        <v>77</v>
      </c>
      <c r="E6" s="8" t="s">
        <v>1423</v>
      </c>
      <c r="F6" s="8" t="s">
        <v>697</v>
      </c>
      <c r="G6" s="16" t="s">
        <v>84</v>
      </c>
      <c r="H6" s="8" t="s">
        <v>1707</v>
      </c>
      <c r="I6" s="8" t="s">
        <v>1708</v>
      </c>
      <c r="J6" s="17" t="s">
        <v>1704</v>
      </c>
      <c r="K6" s="53" t="n">
        <v>0</v>
      </c>
      <c r="L6" s="8"/>
    </row>
    <row r="7" customFormat="false" ht="15" hidden="false" customHeight="true" outlineLevel="0" collapsed="false">
      <c r="A7" s="5" t="s">
        <v>1709</v>
      </c>
      <c r="B7" s="5" t="s">
        <v>1700</v>
      </c>
      <c r="C7" s="5" t="s">
        <v>1710</v>
      </c>
      <c r="D7" s="5" t="s">
        <v>77</v>
      </c>
      <c r="E7" s="5" t="s">
        <v>1423</v>
      </c>
      <c r="F7" s="5" t="s">
        <v>718</v>
      </c>
      <c r="G7" s="16" t="s">
        <v>84</v>
      </c>
      <c r="H7" s="5" t="s">
        <v>1711</v>
      </c>
      <c r="I7" s="5" t="s">
        <v>1712</v>
      </c>
      <c r="J7" s="15" t="s">
        <v>1704</v>
      </c>
      <c r="K7" s="52" t="n">
        <v>0</v>
      </c>
      <c r="L7" s="5"/>
    </row>
    <row r="8" customFormat="false" ht="21.75" hidden="false" customHeight="true" outlineLevel="0" collapsed="false">
      <c r="A8" s="8" t="s">
        <v>1713</v>
      </c>
      <c r="B8" s="8" t="s">
        <v>1700</v>
      </c>
      <c r="C8" s="8" t="s">
        <v>1714</v>
      </c>
      <c r="D8" s="8" t="s">
        <v>77</v>
      </c>
      <c r="E8" s="8" t="s">
        <v>1482</v>
      </c>
      <c r="F8" s="8" t="s">
        <v>787</v>
      </c>
      <c r="G8" s="16" t="s">
        <v>84</v>
      </c>
      <c r="H8" s="8" t="s">
        <v>1715</v>
      </c>
      <c r="I8" s="8" t="s">
        <v>1716</v>
      </c>
      <c r="J8" s="17" t="s">
        <v>1704</v>
      </c>
      <c r="K8" s="53" t="n">
        <v>0</v>
      </c>
      <c r="L8" s="8"/>
    </row>
    <row r="9" customFormat="false" ht="21.75" hidden="false" customHeight="true" outlineLevel="0" collapsed="false">
      <c r="A9" s="5" t="s">
        <v>1717</v>
      </c>
      <c r="B9" s="5" t="s">
        <v>1700</v>
      </c>
      <c r="C9" s="5" t="s">
        <v>1718</v>
      </c>
      <c r="D9" s="5" t="s">
        <v>77</v>
      </c>
      <c r="E9" s="5" t="s">
        <v>1482</v>
      </c>
      <c r="F9" s="5" t="s">
        <v>697</v>
      </c>
      <c r="G9" s="16" t="s">
        <v>84</v>
      </c>
      <c r="H9" s="5" t="s">
        <v>1719</v>
      </c>
      <c r="I9" s="5" t="s">
        <v>1720</v>
      </c>
      <c r="J9" s="15" t="s">
        <v>1704</v>
      </c>
      <c r="K9" s="52" t="n">
        <v>0</v>
      </c>
      <c r="L9" s="5"/>
    </row>
    <row r="10" customFormat="false" ht="15" hidden="false" customHeight="true" outlineLevel="0" collapsed="false">
      <c r="A10" s="8" t="s">
        <v>1721</v>
      </c>
      <c r="B10" s="8" t="s">
        <v>1700</v>
      </c>
      <c r="C10" s="8" t="s">
        <v>1722</v>
      </c>
      <c r="D10" s="8" t="s">
        <v>77</v>
      </c>
      <c r="E10" s="8" t="s">
        <v>1723</v>
      </c>
      <c r="F10" s="8" t="s">
        <v>787</v>
      </c>
      <c r="G10" s="16" t="s">
        <v>84</v>
      </c>
      <c r="H10" s="8" t="s">
        <v>1724</v>
      </c>
      <c r="I10" s="8" t="s">
        <v>1725</v>
      </c>
      <c r="J10" s="17" t="s">
        <v>1704</v>
      </c>
      <c r="K10" s="53" t="n">
        <v>0</v>
      </c>
      <c r="L10" s="8"/>
    </row>
    <row r="11" customFormat="false" ht="15" hidden="false" customHeight="true" outlineLevel="0" collapsed="false">
      <c r="A11" s="5" t="s">
        <v>1726</v>
      </c>
      <c r="B11" s="5" t="s">
        <v>1700</v>
      </c>
      <c r="C11" s="5" t="s">
        <v>1727</v>
      </c>
      <c r="D11" s="5" t="s">
        <v>77</v>
      </c>
      <c r="E11" s="5" t="s">
        <v>1482</v>
      </c>
      <c r="F11" s="5" t="s">
        <v>697</v>
      </c>
      <c r="G11" s="16" t="s">
        <v>84</v>
      </c>
      <c r="H11" s="5" t="s">
        <v>1728</v>
      </c>
      <c r="I11" s="5" t="s">
        <v>1729</v>
      </c>
      <c r="J11" s="15" t="s">
        <v>1704</v>
      </c>
      <c r="K11" s="52" t="n">
        <v>0</v>
      </c>
      <c r="L11" s="5" t="s">
        <v>1730</v>
      </c>
    </row>
    <row r="12" customFormat="false" ht="15" hidden="false" customHeight="true" outlineLevel="0" collapsed="false">
      <c r="A12" s="8" t="s">
        <v>1731</v>
      </c>
      <c r="B12" s="8" t="s">
        <v>1700</v>
      </c>
      <c r="C12" s="8" t="s">
        <v>1732</v>
      </c>
      <c r="D12" s="8" t="s">
        <v>77</v>
      </c>
      <c r="E12" s="8" t="s">
        <v>1423</v>
      </c>
      <c r="F12" s="8" t="s">
        <v>787</v>
      </c>
      <c r="G12" s="16" t="s">
        <v>84</v>
      </c>
      <c r="H12" s="8" t="s">
        <v>1733</v>
      </c>
      <c r="I12" s="8" t="s">
        <v>1311</v>
      </c>
      <c r="J12" s="17" t="s">
        <v>1704</v>
      </c>
      <c r="K12" s="53" t="n">
        <v>0</v>
      </c>
      <c r="L12" s="8"/>
    </row>
    <row r="13" customFormat="false" ht="15" hidden="false" customHeight="true" outlineLevel="0" collapsed="false">
      <c r="A13" s="51" t="s">
        <v>1734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</row>
    <row r="14" customFormat="false" ht="21.75" hidden="false" customHeight="true" outlineLevel="0" collapsed="false">
      <c r="A14" s="5" t="s">
        <v>1735</v>
      </c>
      <c r="B14" s="5" t="s">
        <v>1736</v>
      </c>
      <c r="C14" s="5" t="s">
        <v>1737</v>
      </c>
      <c r="D14" s="5" t="s">
        <v>77</v>
      </c>
      <c r="E14" s="5" t="s">
        <v>1738</v>
      </c>
      <c r="F14" s="5" t="s">
        <v>697</v>
      </c>
      <c r="G14" s="16" t="s">
        <v>84</v>
      </c>
      <c r="H14" s="5" t="s">
        <v>1739</v>
      </c>
      <c r="I14" s="5" t="s">
        <v>1740</v>
      </c>
      <c r="J14" s="15" t="s">
        <v>1741</v>
      </c>
      <c r="K14" s="52" t="n">
        <v>0</v>
      </c>
      <c r="L14" s="5"/>
    </row>
    <row r="15" customFormat="false" ht="15" hidden="false" customHeight="true" outlineLevel="0" collapsed="false">
      <c r="A15" s="8" t="s">
        <v>1742</v>
      </c>
      <c r="B15" s="8" t="s">
        <v>1736</v>
      </c>
      <c r="C15" s="8" t="s">
        <v>1743</v>
      </c>
      <c r="D15" s="8" t="s">
        <v>77</v>
      </c>
      <c r="E15" s="8" t="s">
        <v>1738</v>
      </c>
      <c r="F15" s="8" t="s">
        <v>718</v>
      </c>
      <c r="G15" s="16" t="s">
        <v>84</v>
      </c>
      <c r="H15" s="8" t="s">
        <v>1744</v>
      </c>
      <c r="I15" s="8" t="s">
        <v>1745</v>
      </c>
      <c r="J15" s="17" t="s">
        <v>1741</v>
      </c>
      <c r="K15" s="53" t="n">
        <v>0</v>
      </c>
      <c r="L15" s="8"/>
    </row>
    <row r="16" customFormat="false" ht="15" hidden="false" customHeight="true" outlineLevel="0" collapsed="false">
      <c r="A16" s="5" t="s">
        <v>1746</v>
      </c>
      <c r="B16" s="5" t="s">
        <v>1736</v>
      </c>
      <c r="C16" s="5" t="s">
        <v>1747</v>
      </c>
      <c r="D16" s="5" t="s">
        <v>77</v>
      </c>
      <c r="E16" s="5" t="s">
        <v>1458</v>
      </c>
      <c r="F16" s="5" t="s">
        <v>697</v>
      </c>
      <c r="G16" s="16" t="s">
        <v>84</v>
      </c>
      <c r="H16" s="5" t="s">
        <v>1748</v>
      </c>
      <c r="I16" s="5" t="s">
        <v>1749</v>
      </c>
      <c r="J16" s="15" t="s">
        <v>1741</v>
      </c>
      <c r="K16" s="52" t="n">
        <v>0</v>
      </c>
      <c r="L16" s="5"/>
    </row>
    <row r="17" customFormat="false" ht="15" hidden="false" customHeight="true" outlineLevel="0" collapsed="false">
      <c r="A17" s="8" t="s">
        <v>1750</v>
      </c>
      <c r="B17" s="8" t="s">
        <v>1736</v>
      </c>
      <c r="C17" s="8" t="s">
        <v>1751</v>
      </c>
      <c r="D17" s="8" t="s">
        <v>77</v>
      </c>
      <c r="E17" s="8" t="s">
        <v>1423</v>
      </c>
      <c r="F17" s="8" t="s">
        <v>787</v>
      </c>
      <c r="G17" s="16" t="s">
        <v>84</v>
      </c>
      <c r="H17" s="8" t="s">
        <v>1645</v>
      </c>
      <c r="I17" s="8" t="s">
        <v>1646</v>
      </c>
      <c r="J17" s="17" t="s">
        <v>1741</v>
      </c>
      <c r="K17" s="53" t="n">
        <v>0</v>
      </c>
      <c r="L17" s="8"/>
    </row>
    <row r="18" customFormat="false" ht="15" hidden="false" customHeight="true" outlineLevel="0" collapsed="false">
      <c r="A18" s="5" t="s">
        <v>1752</v>
      </c>
      <c r="B18" s="5" t="s">
        <v>1736</v>
      </c>
      <c r="C18" s="5" t="s">
        <v>1753</v>
      </c>
      <c r="D18" s="5" t="s">
        <v>77</v>
      </c>
      <c r="E18" s="5" t="s">
        <v>1754</v>
      </c>
      <c r="F18" s="5" t="s">
        <v>697</v>
      </c>
      <c r="G18" s="16" t="s">
        <v>84</v>
      </c>
      <c r="H18" s="5" t="s">
        <v>1755</v>
      </c>
      <c r="I18" s="5" t="s">
        <v>1756</v>
      </c>
      <c r="J18" s="15" t="s">
        <v>1741</v>
      </c>
      <c r="K18" s="52" t="n">
        <v>0</v>
      </c>
      <c r="L18" s="5"/>
    </row>
    <row r="19" customFormat="false" ht="15" hidden="false" customHeight="true" outlineLevel="0" collapsed="false">
      <c r="A19" s="51" t="s">
        <v>1757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</row>
    <row r="20" customFormat="false" ht="15" hidden="false" customHeight="true" outlineLevel="0" collapsed="false">
      <c r="A20" s="5" t="s">
        <v>1758</v>
      </c>
      <c r="B20" s="5" t="s">
        <v>1759</v>
      </c>
      <c r="C20" s="5" t="s">
        <v>1760</v>
      </c>
      <c r="D20" s="5" t="s">
        <v>77</v>
      </c>
      <c r="E20" s="5" t="s">
        <v>1761</v>
      </c>
      <c r="F20" s="5" t="s">
        <v>697</v>
      </c>
      <c r="G20" s="54" t="s">
        <v>931</v>
      </c>
      <c r="H20" s="5" t="s">
        <v>1762</v>
      </c>
      <c r="I20" s="5" t="s">
        <v>1763</v>
      </c>
      <c r="J20" s="15" t="s">
        <v>1764</v>
      </c>
      <c r="K20" s="52" t="n">
        <v>0</v>
      </c>
      <c r="L20" s="5"/>
    </row>
    <row r="21" customFormat="false" ht="15" hidden="false" customHeight="true" outlineLevel="0" collapsed="false">
      <c r="A21" s="8" t="s">
        <v>1765</v>
      </c>
      <c r="B21" s="8" t="s">
        <v>1759</v>
      </c>
      <c r="C21" s="8" t="s">
        <v>1766</v>
      </c>
      <c r="D21" s="8" t="s">
        <v>77</v>
      </c>
      <c r="E21" s="8" t="s">
        <v>1767</v>
      </c>
      <c r="F21" s="8" t="s">
        <v>697</v>
      </c>
      <c r="G21" s="54" t="s">
        <v>931</v>
      </c>
      <c r="H21" s="8" t="s">
        <v>1768</v>
      </c>
      <c r="I21" s="8" t="s">
        <v>1769</v>
      </c>
      <c r="J21" s="17" t="s">
        <v>1764</v>
      </c>
      <c r="K21" s="53" t="n">
        <v>0</v>
      </c>
      <c r="L21" s="8"/>
    </row>
    <row r="22" customFormat="false" ht="21.75" hidden="false" customHeight="true" outlineLevel="0" collapsed="false">
      <c r="A22" s="5" t="s">
        <v>1770</v>
      </c>
      <c r="B22" s="5" t="s">
        <v>1759</v>
      </c>
      <c r="C22" s="5" t="s">
        <v>1771</v>
      </c>
      <c r="D22" s="5" t="s">
        <v>77</v>
      </c>
      <c r="E22" s="5" t="s">
        <v>1772</v>
      </c>
      <c r="F22" s="5" t="s">
        <v>697</v>
      </c>
      <c r="G22" s="54" t="s">
        <v>931</v>
      </c>
      <c r="H22" s="5" t="s">
        <v>1773</v>
      </c>
      <c r="I22" s="5" t="s">
        <v>1774</v>
      </c>
      <c r="J22" s="15" t="s">
        <v>1764</v>
      </c>
      <c r="K22" s="52" t="n">
        <v>0</v>
      </c>
      <c r="L22" s="5"/>
    </row>
    <row r="23" customFormat="false" ht="21.75" hidden="false" customHeight="true" outlineLevel="0" collapsed="false">
      <c r="A23" s="8" t="s">
        <v>1775</v>
      </c>
      <c r="B23" s="8" t="s">
        <v>1759</v>
      </c>
      <c r="C23" s="8" t="s">
        <v>1776</v>
      </c>
      <c r="D23" s="8" t="s">
        <v>77</v>
      </c>
      <c r="E23" s="8" t="s">
        <v>1777</v>
      </c>
      <c r="F23" s="8" t="s">
        <v>697</v>
      </c>
      <c r="G23" s="54" t="s">
        <v>931</v>
      </c>
      <c r="H23" s="8" t="s">
        <v>1778</v>
      </c>
      <c r="I23" s="8" t="s">
        <v>1779</v>
      </c>
      <c r="J23" s="17" t="s">
        <v>1764</v>
      </c>
      <c r="K23" s="53" t="n">
        <v>0</v>
      </c>
      <c r="L23" s="8"/>
    </row>
    <row r="24" customFormat="false" ht="15" hidden="false" customHeight="true" outlineLevel="0" collapsed="false">
      <c r="A24" s="5" t="s">
        <v>1780</v>
      </c>
      <c r="B24" s="5" t="s">
        <v>1759</v>
      </c>
      <c r="C24" s="5" t="s">
        <v>1781</v>
      </c>
      <c r="D24" s="5" t="s">
        <v>77</v>
      </c>
      <c r="E24" s="5" t="s">
        <v>1767</v>
      </c>
      <c r="F24" s="5" t="s">
        <v>697</v>
      </c>
      <c r="G24" s="54" t="s">
        <v>931</v>
      </c>
      <c r="H24" s="5" t="s">
        <v>1782</v>
      </c>
      <c r="I24" s="5" t="s">
        <v>1783</v>
      </c>
      <c r="J24" s="15" t="s">
        <v>1764</v>
      </c>
      <c r="K24" s="52" t="n">
        <v>0</v>
      </c>
      <c r="L24" s="5"/>
    </row>
    <row r="25" customFormat="false" ht="21.75" hidden="false" customHeight="true" outlineLevel="0" collapsed="false">
      <c r="A25" s="8" t="s">
        <v>1784</v>
      </c>
      <c r="B25" s="8" t="s">
        <v>1759</v>
      </c>
      <c r="C25" s="8" t="s">
        <v>1785</v>
      </c>
      <c r="D25" s="8" t="s">
        <v>841</v>
      </c>
      <c r="E25" s="8" t="s">
        <v>1786</v>
      </c>
      <c r="F25" s="8" t="s">
        <v>697</v>
      </c>
      <c r="G25" s="54" t="s">
        <v>931</v>
      </c>
      <c r="H25" s="8" t="s">
        <v>1787</v>
      </c>
      <c r="I25" s="8" t="s">
        <v>1788</v>
      </c>
      <c r="J25" s="17" t="s">
        <v>1764</v>
      </c>
      <c r="K25" s="53" t="n">
        <v>0</v>
      </c>
      <c r="L25" s="8"/>
    </row>
    <row r="26" customFormat="false" ht="15" hidden="false" customHeight="true" outlineLevel="0" collapsed="false">
      <c r="A26" s="51" t="s">
        <v>1789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customFormat="false" ht="15" hidden="false" customHeight="true" outlineLevel="0" collapsed="false">
      <c r="A27" s="5" t="s">
        <v>1790</v>
      </c>
      <c r="B27" s="5" t="s">
        <v>1791</v>
      </c>
      <c r="C27" s="5" t="s">
        <v>1792</v>
      </c>
      <c r="D27" s="5" t="s">
        <v>77</v>
      </c>
      <c r="E27" s="5" t="s">
        <v>1793</v>
      </c>
      <c r="F27" s="5" t="s">
        <v>718</v>
      </c>
      <c r="G27" s="54" t="s">
        <v>931</v>
      </c>
      <c r="H27" s="5" t="s">
        <v>1794</v>
      </c>
      <c r="I27" s="5" t="s">
        <v>1795</v>
      </c>
      <c r="J27" s="15" t="s">
        <v>1764</v>
      </c>
      <c r="K27" s="52" t="n">
        <v>0</v>
      </c>
      <c r="L27" s="5" t="s">
        <v>1796</v>
      </c>
    </row>
    <row r="28" customFormat="false" ht="21.75" hidden="false" customHeight="true" outlineLevel="0" collapsed="false">
      <c r="A28" s="8" t="s">
        <v>1797</v>
      </c>
      <c r="B28" s="8" t="s">
        <v>1791</v>
      </c>
      <c r="C28" s="8" t="s">
        <v>1798</v>
      </c>
      <c r="D28" s="8" t="s">
        <v>77</v>
      </c>
      <c r="E28" s="8" t="s">
        <v>1799</v>
      </c>
      <c r="F28" s="8" t="s">
        <v>718</v>
      </c>
      <c r="G28" s="54" t="s">
        <v>931</v>
      </c>
      <c r="H28" s="8" t="s">
        <v>1800</v>
      </c>
      <c r="I28" s="8" t="s">
        <v>1801</v>
      </c>
      <c r="J28" s="17" t="s">
        <v>1764</v>
      </c>
      <c r="K28" s="53" t="n">
        <v>0</v>
      </c>
      <c r="L28" s="8"/>
    </row>
    <row r="29" customFormat="false" ht="21.75" hidden="false" customHeight="true" outlineLevel="0" collapsed="false">
      <c r="A29" s="5" t="s">
        <v>1802</v>
      </c>
      <c r="B29" s="5" t="s">
        <v>1791</v>
      </c>
      <c r="C29" s="5" t="s">
        <v>1803</v>
      </c>
      <c r="D29" s="5" t="s">
        <v>77</v>
      </c>
      <c r="E29" s="5" t="s">
        <v>1804</v>
      </c>
      <c r="F29" s="5" t="s">
        <v>718</v>
      </c>
      <c r="G29" s="54" t="s">
        <v>931</v>
      </c>
      <c r="H29" s="5" t="s">
        <v>1805</v>
      </c>
      <c r="I29" s="5" t="s">
        <v>1806</v>
      </c>
      <c r="J29" s="15" t="s">
        <v>1764</v>
      </c>
      <c r="K29" s="52" t="n">
        <v>0</v>
      </c>
      <c r="L29" s="5"/>
    </row>
    <row r="30" customFormat="false" ht="15" hidden="false" customHeight="true" outlineLevel="0" collapsed="false">
      <c r="A30" s="8" t="s">
        <v>1807</v>
      </c>
      <c r="B30" s="8" t="s">
        <v>1791</v>
      </c>
      <c r="C30" s="8" t="s">
        <v>1808</v>
      </c>
      <c r="D30" s="8" t="s">
        <v>77</v>
      </c>
      <c r="E30" s="8" t="s">
        <v>1809</v>
      </c>
      <c r="F30" s="8" t="s">
        <v>718</v>
      </c>
      <c r="G30" s="54" t="s">
        <v>931</v>
      </c>
      <c r="H30" s="8" t="s">
        <v>1810</v>
      </c>
      <c r="I30" s="8" t="s">
        <v>1811</v>
      </c>
      <c r="J30" s="17" t="s">
        <v>1764</v>
      </c>
      <c r="K30" s="53" t="n">
        <v>0</v>
      </c>
      <c r="L30" s="8"/>
    </row>
    <row r="31" customFormat="false" ht="15" hidden="false" customHeight="true" outlineLevel="0" collapsed="false">
      <c r="A31" s="5" t="s">
        <v>1812</v>
      </c>
      <c r="B31" s="5" t="s">
        <v>1791</v>
      </c>
      <c r="C31" s="5" t="s">
        <v>1813</v>
      </c>
      <c r="D31" s="5" t="s">
        <v>77</v>
      </c>
      <c r="E31" s="5" t="s">
        <v>1814</v>
      </c>
      <c r="F31" s="5" t="s">
        <v>718</v>
      </c>
      <c r="G31" s="54" t="s">
        <v>931</v>
      </c>
      <c r="H31" s="5" t="s">
        <v>1815</v>
      </c>
      <c r="I31" s="5" t="s">
        <v>1816</v>
      </c>
      <c r="J31" s="15" t="s">
        <v>1764</v>
      </c>
      <c r="K31" s="52" t="n">
        <v>0</v>
      </c>
      <c r="L31" s="5"/>
    </row>
    <row r="32" customFormat="false" ht="15" hidden="false" customHeight="true" outlineLevel="0" collapsed="false">
      <c r="A32" s="51" t="s">
        <v>1817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</row>
    <row r="33" customFormat="false" ht="15" hidden="false" customHeight="true" outlineLevel="0" collapsed="false">
      <c r="A33" s="5" t="s">
        <v>1818</v>
      </c>
      <c r="B33" s="5" t="s">
        <v>1819</v>
      </c>
      <c r="C33" s="5" t="s">
        <v>1820</v>
      </c>
      <c r="D33" s="5" t="s">
        <v>77</v>
      </c>
      <c r="E33" s="5" t="s">
        <v>1821</v>
      </c>
      <c r="F33" s="5" t="s">
        <v>718</v>
      </c>
      <c r="G33" s="54" t="s">
        <v>931</v>
      </c>
      <c r="H33" s="5" t="s">
        <v>1822</v>
      </c>
      <c r="I33" s="5" t="s">
        <v>1823</v>
      </c>
      <c r="J33" s="15" t="s">
        <v>1824</v>
      </c>
      <c r="K33" s="52" t="n">
        <v>0</v>
      </c>
      <c r="L33" s="5"/>
    </row>
    <row r="34" customFormat="false" ht="15" hidden="false" customHeight="true" outlineLevel="0" collapsed="false">
      <c r="A34" s="8" t="s">
        <v>1825</v>
      </c>
      <c r="B34" s="8" t="s">
        <v>1819</v>
      </c>
      <c r="C34" s="8" t="s">
        <v>1826</v>
      </c>
      <c r="D34" s="8" t="s">
        <v>77</v>
      </c>
      <c r="E34" s="8" t="s">
        <v>1827</v>
      </c>
      <c r="F34" s="8" t="s">
        <v>718</v>
      </c>
      <c r="G34" s="54" t="s">
        <v>931</v>
      </c>
      <c r="H34" s="8" t="s">
        <v>1828</v>
      </c>
      <c r="I34" s="8" t="s">
        <v>1829</v>
      </c>
      <c r="J34" s="17" t="s">
        <v>1824</v>
      </c>
      <c r="K34" s="53" t="n">
        <v>0</v>
      </c>
      <c r="L34" s="8"/>
    </row>
    <row r="35" customFormat="false" ht="15" hidden="false" customHeight="true" outlineLevel="0" collapsed="false">
      <c r="A35" s="5" t="s">
        <v>1830</v>
      </c>
      <c r="B35" s="5" t="s">
        <v>1819</v>
      </c>
      <c r="C35" s="5" t="s">
        <v>1831</v>
      </c>
      <c r="D35" s="5" t="s">
        <v>77</v>
      </c>
      <c r="E35" s="5" t="s">
        <v>1832</v>
      </c>
      <c r="F35" s="5" t="s">
        <v>718</v>
      </c>
      <c r="G35" s="54" t="s">
        <v>931</v>
      </c>
      <c r="H35" s="5" t="s">
        <v>1833</v>
      </c>
      <c r="I35" s="5" t="s">
        <v>1834</v>
      </c>
      <c r="J35" s="15" t="s">
        <v>1824</v>
      </c>
      <c r="K35" s="52" t="n">
        <v>0</v>
      </c>
      <c r="L35" s="5"/>
    </row>
    <row r="36" customFormat="false" ht="15" hidden="false" customHeight="true" outlineLevel="0" collapsed="false">
      <c r="A36" s="8" t="s">
        <v>1835</v>
      </c>
      <c r="B36" s="8" t="s">
        <v>1819</v>
      </c>
      <c r="C36" s="8" t="s">
        <v>1836</v>
      </c>
      <c r="D36" s="8" t="s">
        <v>77</v>
      </c>
      <c r="E36" s="8" t="s">
        <v>1832</v>
      </c>
      <c r="F36" s="8" t="s">
        <v>718</v>
      </c>
      <c r="G36" s="54" t="s">
        <v>931</v>
      </c>
      <c r="H36" s="8" t="s">
        <v>1837</v>
      </c>
      <c r="I36" s="8" t="s">
        <v>1838</v>
      </c>
      <c r="J36" s="17" t="s">
        <v>1824</v>
      </c>
      <c r="K36" s="53" t="n">
        <v>0</v>
      </c>
      <c r="L36" s="8"/>
    </row>
    <row r="37" customFormat="false" ht="15" hidden="false" customHeight="true" outlineLevel="0" collapsed="false">
      <c r="A37" s="5" t="s">
        <v>1839</v>
      </c>
      <c r="B37" s="5" t="s">
        <v>1819</v>
      </c>
      <c r="C37" s="5" t="s">
        <v>1840</v>
      </c>
      <c r="D37" s="5" t="s">
        <v>77</v>
      </c>
      <c r="E37" s="5" t="s">
        <v>1841</v>
      </c>
      <c r="F37" s="5" t="s">
        <v>718</v>
      </c>
      <c r="G37" s="54" t="s">
        <v>931</v>
      </c>
      <c r="H37" s="5" t="s">
        <v>1842</v>
      </c>
      <c r="I37" s="5" t="s">
        <v>1843</v>
      </c>
      <c r="J37" s="15" t="s">
        <v>1824</v>
      </c>
      <c r="K37" s="52" t="n">
        <v>0</v>
      </c>
      <c r="L37" s="5"/>
    </row>
    <row r="38" customFormat="false" ht="15" hidden="false" customHeight="true" outlineLevel="0" collapsed="false">
      <c r="A38" s="51" t="s">
        <v>1844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1.75" hidden="false" customHeight="true" outlineLevel="0" collapsed="false">
      <c r="A39" s="5" t="s">
        <v>1845</v>
      </c>
      <c r="B39" s="5" t="s">
        <v>1846</v>
      </c>
      <c r="C39" s="5" t="s">
        <v>1847</v>
      </c>
      <c r="D39" s="5" t="s">
        <v>77</v>
      </c>
      <c r="E39" s="5" t="s">
        <v>1423</v>
      </c>
      <c r="F39" s="5" t="s">
        <v>697</v>
      </c>
      <c r="G39" s="54" t="s">
        <v>931</v>
      </c>
      <c r="H39" s="5" t="s">
        <v>1848</v>
      </c>
      <c r="I39" s="5" t="s">
        <v>1849</v>
      </c>
      <c r="J39" s="15" t="s">
        <v>1824</v>
      </c>
      <c r="K39" s="52" t="n">
        <v>0</v>
      </c>
      <c r="L39" s="5"/>
    </row>
    <row r="40" customFormat="false" ht="15" hidden="false" customHeight="true" outlineLevel="0" collapsed="false">
      <c r="A40" s="8" t="s">
        <v>1850</v>
      </c>
      <c r="B40" s="8" t="s">
        <v>1846</v>
      </c>
      <c r="C40" s="8" t="s">
        <v>1851</v>
      </c>
      <c r="D40" s="8" t="s">
        <v>77</v>
      </c>
      <c r="E40" s="8" t="s">
        <v>1477</v>
      </c>
      <c r="F40" s="8" t="s">
        <v>697</v>
      </c>
      <c r="G40" s="54" t="s">
        <v>931</v>
      </c>
      <c r="H40" s="8" t="s">
        <v>1852</v>
      </c>
      <c r="I40" s="8" t="s">
        <v>1853</v>
      </c>
      <c r="J40" s="17" t="s">
        <v>1824</v>
      </c>
      <c r="K40" s="53" t="n">
        <v>0</v>
      </c>
      <c r="L40" s="8"/>
    </row>
    <row r="41" customFormat="false" ht="15" hidden="false" customHeight="true" outlineLevel="0" collapsed="false">
      <c r="A41" s="5" t="s">
        <v>1854</v>
      </c>
      <c r="B41" s="5" t="s">
        <v>1846</v>
      </c>
      <c r="C41" s="5" t="s">
        <v>1855</v>
      </c>
      <c r="D41" s="5" t="s">
        <v>77</v>
      </c>
      <c r="E41" s="5" t="s">
        <v>1650</v>
      </c>
      <c r="F41" s="5" t="s">
        <v>718</v>
      </c>
      <c r="G41" s="54" t="s">
        <v>931</v>
      </c>
      <c r="H41" s="5" t="s">
        <v>1856</v>
      </c>
      <c r="I41" s="5" t="s">
        <v>1857</v>
      </c>
      <c r="J41" s="15" t="s">
        <v>1824</v>
      </c>
      <c r="K41" s="52" t="n">
        <v>0</v>
      </c>
      <c r="L41" s="5"/>
    </row>
    <row r="42" customFormat="false" ht="21.75" hidden="false" customHeight="true" outlineLevel="0" collapsed="false">
      <c r="A42" s="8" t="s">
        <v>1858</v>
      </c>
      <c r="B42" s="8" t="s">
        <v>1846</v>
      </c>
      <c r="C42" s="8" t="s">
        <v>1859</v>
      </c>
      <c r="D42" s="8" t="s">
        <v>77</v>
      </c>
      <c r="E42" s="8" t="s">
        <v>1860</v>
      </c>
      <c r="F42" s="8" t="s">
        <v>697</v>
      </c>
      <c r="G42" s="54" t="s">
        <v>931</v>
      </c>
      <c r="H42" s="8" t="s">
        <v>1861</v>
      </c>
      <c r="I42" s="8" t="s">
        <v>1862</v>
      </c>
      <c r="J42" s="17" t="s">
        <v>1824</v>
      </c>
      <c r="K42" s="53" t="n">
        <v>0</v>
      </c>
      <c r="L42" s="8"/>
    </row>
  </sheetData>
  <mergeCells count="7">
    <mergeCell ref="A1:L1"/>
    <mergeCell ref="A4:L4"/>
    <mergeCell ref="A13:L13"/>
    <mergeCell ref="A19:L19"/>
    <mergeCell ref="A26:L26"/>
    <mergeCell ref="A32:L32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1863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1864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15" hidden="false" customHeight="true" outlineLevel="0" collapsed="false">
      <c r="A5" s="5" t="s">
        <v>1865</v>
      </c>
      <c r="B5" s="5" t="s">
        <v>1866</v>
      </c>
      <c r="C5" s="5" t="s">
        <v>1867</v>
      </c>
      <c r="D5" s="5" t="s">
        <v>77</v>
      </c>
      <c r="E5" s="5" t="s">
        <v>1827</v>
      </c>
      <c r="F5" s="5" t="s">
        <v>697</v>
      </c>
      <c r="G5" s="16" t="s">
        <v>84</v>
      </c>
      <c r="H5" s="5" t="s">
        <v>1868</v>
      </c>
      <c r="I5" s="5" t="s">
        <v>1869</v>
      </c>
      <c r="J5" s="15" t="s">
        <v>1870</v>
      </c>
      <c r="K5" s="52" t="n">
        <v>0</v>
      </c>
      <c r="L5" s="5"/>
    </row>
    <row r="6" customFormat="false" ht="21.75" hidden="false" customHeight="true" outlineLevel="0" collapsed="false">
      <c r="A6" s="8" t="s">
        <v>1871</v>
      </c>
      <c r="B6" s="8" t="s">
        <v>1866</v>
      </c>
      <c r="C6" s="8" t="s">
        <v>1872</v>
      </c>
      <c r="D6" s="8" t="s">
        <v>841</v>
      </c>
      <c r="E6" s="8" t="s">
        <v>1873</v>
      </c>
      <c r="F6" s="8" t="s">
        <v>697</v>
      </c>
      <c r="G6" s="16" t="s">
        <v>84</v>
      </c>
      <c r="H6" s="8" t="s">
        <v>1216</v>
      </c>
      <c r="I6" s="8" t="s">
        <v>1874</v>
      </c>
      <c r="J6" s="17" t="s">
        <v>1870</v>
      </c>
      <c r="K6" s="53" t="n">
        <v>0</v>
      </c>
      <c r="L6" s="8"/>
    </row>
    <row r="7" customFormat="false" ht="15" hidden="false" customHeight="true" outlineLevel="0" collapsed="false">
      <c r="A7" s="5" t="s">
        <v>1875</v>
      </c>
      <c r="B7" s="5" t="s">
        <v>1866</v>
      </c>
      <c r="C7" s="5" t="s">
        <v>1876</v>
      </c>
      <c r="D7" s="5" t="s">
        <v>86</v>
      </c>
      <c r="E7" s="5" t="s">
        <v>1877</v>
      </c>
      <c r="F7" s="5" t="s">
        <v>697</v>
      </c>
      <c r="G7" s="16" t="s">
        <v>84</v>
      </c>
      <c r="H7" s="5" t="s">
        <v>1878</v>
      </c>
      <c r="I7" s="5" t="s">
        <v>1879</v>
      </c>
      <c r="J7" s="15" t="s">
        <v>1870</v>
      </c>
      <c r="K7" s="52" t="n">
        <v>0</v>
      </c>
      <c r="L7" s="5"/>
    </row>
    <row r="8" customFormat="false" ht="15" hidden="false" customHeight="true" outlineLevel="0" collapsed="false">
      <c r="A8" s="8" t="s">
        <v>1880</v>
      </c>
      <c r="B8" s="8" t="s">
        <v>1866</v>
      </c>
      <c r="C8" s="8" t="s">
        <v>1881</v>
      </c>
      <c r="D8" s="8" t="s">
        <v>77</v>
      </c>
      <c r="E8" s="8" t="s">
        <v>1882</v>
      </c>
      <c r="F8" s="8" t="s">
        <v>697</v>
      </c>
      <c r="G8" s="16" t="s">
        <v>84</v>
      </c>
      <c r="H8" s="8" t="s">
        <v>1883</v>
      </c>
      <c r="I8" s="8" t="s">
        <v>1884</v>
      </c>
      <c r="J8" s="17" t="s">
        <v>1870</v>
      </c>
      <c r="K8" s="53" t="n">
        <v>0</v>
      </c>
      <c r="L8" s="8"/>
    </row>
    <row r="9" customFormat="false" ht="15" hidden="false" customHeight="true" outlineLevel="0" collapsed="false">
      <c r="A9" s="5" t="s">
        <v>1885</v>
      </c>
      <c r="B9" s="5" t="s">
        <v>1866</v>
      </c>
      <c r="C9" s="5" t="s">
        <v>1886</v>
      </c>
      <c r="D9" s="5" t="s">
        <v>86</v>
      </c>
      <c r="E9" s="5" t="s">
        <v>1887</v>
      </c>
      <c r="F9" s="5" t="s">
        <v>697</v>
      </c>
      <c r="G9" s="16" t="s">
        <v>84</v>
      </c>
      <c r="H9" s="5" t="s">
        <v>1888</v>
      </c>
      <c r="I9" s="5" t="s">
        <v>1889</v>
      </c>
      <c r="J9" s="15" t="s">
        <v>1870</v>
      </c>
      <c r="K9" s="52" t="n">
        <v>0</v>
      </c>
      <c r="L9" s="5"/>
    </row>
    <row r="10" customFormat="false" ht="15" hidden="false" customHeight="true" outlineLevel="0" collapsed="false">
      <c r="A10" s="8" t="s">
        <v>1890</v>
      </c>
      <c r="B10" s="8" t="s">
        <v>1866</v>
      </c>
      <c r="C10" s="8" t="s">
        <v>1891</v>
      </c>
      <c r="D10" s="8" t="s">
        <v>77</v>
      </c>
      <c r="E10" s="8" t="s">
        <v>1892</v>
      </c>
      <c r="F10" s="8" t="s">
        <v>718</v>
      </c>
      <c r="G10" s="16" t="s">
        <v>84</v>
      </c>
      <c r="H10" s="8" t="s">
        <v>1893</v>
      </c>
      <c r="I10" s="8" t="s">
        <v>1894</v>
      </c>
      <c r="J10" s="17" t="s">
        <v>1870</v>
      </c>
      <c r="K10" s="53" t="n">
        <v>0</v>
      </c>
      <c r="L10" s="8"/>
    </row>
    <row r="11" customFormat="false" ht="15" hidden="false" customHeight="true" outlineLevel="0" collapsed="false">
      <c r="A11" s="51" t="s">
        <v>1895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customFormat="false" ht="21.75" hidden="false" customHeight="true" outlineLevel="0" collapsed="false">
      <c r="A12" s="5" t="s">
        <v>1896</v>
      </c>
      <c r="B12" s="5" t="s">
        <v>1897</v>
      </c>
      <c r="C12" s="5" t="s">
        <v>1898</v>
      </c>
      <c r="D12" s="5" t="s">
        <v>841</v>
      </c>
      <c r="E12" s="5" t="s">
        <v>1887</v>
      </c>
      <c r="F12" s="5" t="s">
        <v>697</v>
      </c>
      <c r="G12" s="16" t="s">
        <v>84</v>
      </c>
      <c r="H12" s="5" t="s">
        <v>1899</v>
      </c>
      <c r="I12" s="5" t="s">
        <v>1900</v>
      </c>
      <c r="J12" s="15" t="s">
        <v>1870</v>
      </c>
      <c r="K12" s="52" t="n">
        <v>0</v>
      </c>
      <c r="L12" s="5"/>
    </row>
    <row r="13" customFormat="false" ht="21.75" hidden="false" customHeight="true" outlineLevel="0" collapsed="false">
      <c r="A13" s="8" t="s">
        <v>1901</v>
      </c>
      <c r="B13" s="8" t="s">
        <v>1897</v>
      </c>
      <c r="C13" s="8" t="s">
        <v>1902</v>
      </c>
      <c r="D13" s="8" t="s">
        <v>841</v>
      </c>
      <c r="E13" s="8" t="s">
        <v>1887</v>
      </c>
      <c r="F13" s="8" t="s">
        <v>697</v>
      </c>
      <c r="G13" s="16" t="s">
        <v>84</v>
      </c>
      <c r="H13" s="8" t="s">
        <v>1903</v>
      </c>
      <c r="I13" s="8" t="s">
        <v>1900</v>
      </c>
      <c r="J13" s="17" t="s">
        <v>1870</v>
      </c>
      <c r="K13" s="53" t="n">
        <v>0</v>
      </c>
      <c r="L13" s="8"/>
    </row>
    <row r="14" customFormat="false" ht="15" hidden="false" customHeight="true" outlineLevel="0" collapsed="false">
      <c r="A14" s="5" t="s">
        <v>1904</v>
      </c>
      <c r="B14" s="5" t="s">
        <v>1897</v>
      </c>
      <c r="C14" s="5" t="s">
        <v>1905</v>
      </c>
      <c r="D14" s="5" t="s">
        <v>841</v>
      </c>
      <c r="E14" s="5" t="s">
        <v>1906</v>
      </c>
      <c r="F14" s="5" t="s">
        <v>718</v>
      </c>
      <c r="G14" s="16" t="s">
        <v>84</v>
      </c>
      <c r="H14" s="5" t="s">
        <v>1907</v>
      </c>
      <c r="I14" s="5" t="s">
        <v>1900</v>
      </c>
      <c r="J14" s="15" t="s">
        <v>1870</v>
      </c>
      <c r="K14" s="52" t="n">
        <v>0</v>
      </c>
      <c r="L14" s="5"/>
    </row>
    <row r="15" customFormat="false" ht="15" hidden="false" customHeight="true" outlineLevel="0" collapsed="false">
      <c r="A15" s="8" t="s">
        <v>1908</v>
      </c>
      <c r="B15" s="8" t="s">
        <v>1897</v>
      </c>
      <c r="C15" s="8" t="s">
        <v>1909</v>
      </c>
      <c r="D15" s="8" t="s">
        <v>77</v>
      </c>
      <c r="E15" s="8" t="s">
        <v>1910</v>
      </c>
      <c r="F15" s="8" t="s">
        <v>697</v>
      </c>
      <c r="G15" s="16" t="s">
        <v>84</v>
      </c>
      <c r="H15" s="8" t="s">
        <v>1911</v>
      </c>
      <c r="I15" s="8" t="s">
        <v>1912</v>
      </c>
      <c r="J15" s="17" t="s">
        <v>1870</v>
      </c>
      <c r="K15" s="53" t="n">
        <v>0</v>
      </c>
      <c r="L15" s="8"/>
    </row>
    <row r="16" customFormat="false" ht="15" hidden="false" customHeight="true" outlineLevel="0" collapsed="false">
      <c r="A16" s="5" t="s">
        <v>1913</v>
      </c>
      <c r="B16" s="5" t="s">
        <v>1897</v>
      </c>
      <c r="C16" s="5" t="s">
        <v>1914</v>
      </c>
      <c r="D16" s="5" t="s">
        <v>77</v>
      </c>
      <c r="E16" s="5" t="s">
        <v>1910</v>
      </c>
      <c r="F16" s="5" t="s">
        <v>697</v>
      </c>
      <c r="G16" s="16" t="s">
        <v>84</v>
      </c>
      <c r="H16" s="5" t="s">
        <v>1915</v>
      </c>
      <c r="I16" s="5" t="s">
        <v>1916</v>
      </c>
      <c r="J16" s="15" t="s">
        <v>1870</v>
      </c>
      <c r="K16" s="52" t="n">
        <v>0</v>
      </c>
      <c r="L16" s="5"/>
    </row>
    <row r="17" customFormat="false" ht="15" hidden="false" customHeight="true" outlineLevel="0" collapsed="false">
      <c r="A17" s="51" t="s">
        <v>1917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</row>
    <row r="18" customFormat="false" ht="15" hidden="false" customHeight="true" outlineLevel="0" collapsed="false">
      <c r="A18" s="5" t="s">
        <v>1918</v>
      </c>
      <c r="B18" s="5" t="s">
        <v>1919</v>
      </c>
      <c r="C18" s="5" t="s">
        <v>1920</v>
      </c>
      <c r="D18" s="5" t="s">
        <v>86</v>
      </c>
      <c r="E18" s="5" t="s">
        <v>1832</v>
      </c>
      <c r="F18" s="5" t="s">
        <v>697</v>
      </c>
      <c r="G18" s="54" t="s">
        <v>931</v>
      </c>
      <c r="H18" s="5" t="s">
        <v>1921</v>
      </c>
      <c r="I18" s="5" t="s">
        <v>1922</v>
      </c>
      <c r="J18" s="15" t="s">
        <v>1923</v>
      </c>
      <c r="K18" s="52" t="n">
        <v>0</v>
      </c>
      <c r="L18" s="5" t="s">
        <v>1924</v>
      </c>
    </row>
    <row r="19" customFormat="false" ht="15" hidden="false" customHeight="true" outlineLevel="0" collapsed="false">
      <c r="A19" s="8" t="s">
        <v>1925</v>
      </c>
      <c r="B19" s="8" t="s">
        <v>1919</v>
      </c>
      <c r="C19" s="8" t="s">
        <v>1926</v>
      </c>
      <c r="D19" s="8" t="s">
        <v>86</v>
      </c>
      <c r="E19" s="8" t="s">
        <v>1827</v>
      </c>
      <c r="F19" s="8" t="s">
        <v>718</v>
      </c>
      <c r="G19" s="54" t="s">
        <v>931</v>
      </c>
      <c r="H19" s="8" t="s">
        <v>1927</v>
      </c>
      <c r="I19" s="8" t="s">
        <v>1928</v>
      </c>
      <c r="J19" s="17" t="s">
        <v>1923</v>
      </c>
      <c r="K19" s="53" t="n">
        <v>0</v>
      </c>
      <c r="L19" s="8"/>
    </row>
    <row r="20" customFormat="false" ht="21.75" hidden="false" customHeight="true" outlineLevel="0" collapsed="false">
      <c r="A20" s="5" t="s">
        <v>1929</v>
      </c>
      <c r="B20" s="5" t="s">
        <v>1919</v>
      </c>
      <c r="C20" s="5" t="s">
        <v>1930</v>
      </c>
      <c r="D20" s="5" t="s">
        <v>77</v>
      </c>
      <c r="E20" s="5" t="s">
        <v>1931</v>
      </c>
      <c r="F20" s="5" t="s">
        <v>718</v>
      </c>
      <c r="G20" s="54" t="s">
        <v>931</v>
      </c>
      <c r="H20" s="5" t="s">
        <v>1932</v>
      </c>
      <c r="I20" s="5" t="s">
        <v>1933</v>
      </c>
      <c r="J20" s="15" t="s">
        <v>1923</v>
      </c>
      <c r="K20" s="52" t="n">
        <v>0</v>
      </c>
      <c r="L20" s="5"/>
    </row>
    <row r="21" customFormat="false" ht="21.75" hidden="false" customHeight="true" outlineLevel="0" collapsed="false">
      <c r="A21" s="8" t="s">
        <v>1934</v>
      </c>
      <c r="B21" s="8" t="s">
        <v>1919</v>
      </c>
      <c r="C21" s="8" t="s">
        <v>1935</v>
      </c>
      <c r="D21" s="8" t="s">
        <v>86</v>
      </c>
      <c r="E21" s="8" t="s">
        <v>1906</v>
      </c>
      <c r="F21" s="8" t="s">
        <v>718</v>
      </c>
      <c r="G21" s="54" t="s">
        <v>931</v>
      </c>
      <c r="H21" s="8" t="s">
        <v>1936</v>
      </c>
      <c r="I21" s="8" t="s">
        <v>1937</v>
      </c>
      <c r="J21" s="17" t="s">
        <v>1923</v>
      </c>
      <c r="K21" s="53" t="n">
        <v>0</v>
      </c>
      <c r="L21" s="8"/>
    </row>
    <row r="22" customFormat="false" ht="15" hidden="false" customHeight="true" outlineLevel="0" collapsed="false">
      <c r="A22" s="51" t="s">
        <v>1938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customFormat="false" ht="21.75" hidden="false" customHeight="true" outlineLevel="0" collapsed="false">
      <c r="A23" s="5" t="s">
        <v>1939</v>
      </c>
      <c r="B23" s="5" t="s">
        <v>1940</v>
      </c>
      <c r="C23" s="5" t="s">
        <v>1941</v>
      </c>
      <c r="D23" s="5" t="s">
        <v>86</v>
      </c>
      <c r="E23" s="5" t="s">
        <v>1942</v>
      </c>
      <c r="F23" s="5" t="s">
        <v>697</v>
      </c>
      <c r="G23" s="54" t="s">
        <v>931</v>
      </c>
      <c r="H23" s="5" t="s">
        <v>1943</v>
      </c>
      <c r="I23" s="5" t="s">
        <v>1944</v>
      </c>
      <c r="J23" s="15" t="s">
        <v>1923</v>
      </c>
      <c r="K23" s="52" t="n">
        <v>0</v>
      </c>
      <c r="L23" s="5" t="s">
        <v>1945</v>
      </c>
    </row>
    <row r="24" customFormat="false" ht="15" hidden="false" customHeight="true" outlineLevel="0" collapsed="false">
      <c r="A24" s="8" t="s">
        <v>1946</v>
      </c>
      <c r="B24" s="8" t="s">
        <v>1940</v>
      </c>
      <c r="C24" s="8" t="s">
        <v>1947</v>
      </c>
      <c r="D24" s="8" t="s">
        <v>86</v>
      </c>
      <c r="E24" s="8" t="s">
        <v>1948</v>
      </c>
      <c r="F24" s="8" t="s">
        <v>697</v>
      </c>
      <c r="G24" s="54" t="s">
        <v>931</v>
      </c>
      <c r="H24" s="8" t="s">
        <v>1949</v>
      </c>
      <c r="I24" s="8" t="s">
        <v>1950</v>
      </c>
      <c r="J24" s="17" t="s">
        <v>1923</v>
      </c>
      <c r="K24" s="53" t="n">
        <v>0</v>
      </c>
      <c r="L24" s="8"/>
    </row>
    <row r="25" customFormat="false" ht="21.75" hidden="false" customHeight="true" outlineLevel="0" collapsed="false">
      <c r="A25" s="5" t="s">
        <v>1951</v>
      </c>
      <c r="B25" s="5" t="s">
        <v>1940</v>
      </c>
      <c r="C25" s="5" t="s">
        <v>1952</v>
      </c>
      <c r="D25" s="5" t="s">
        <v>86</v>
      </c>
      <c r="E25" s="5" t="s">
        <v>1953</v>
      </c>
      <c r="F25" s="5" t="s">
        <v>697</v>
      </c>
      <c r="G25" s="54" t="s">
        <v>931</v>
      </c>
      <c r="H25" s="5" t="s">
        <v>1954</v>
      </c>
      <c r="I25" s="5" t="s">
        <v>1955</v>
      </c>
      <c r="J25" s="15" t="s">
        <v>1923</v>
      </c>
      <c r="K25" s="52" t="n">
        <v>0</v>
      </c>
      <c r="L25" s="5"/>
    </row>
    <row r="26" customFormat="false" ht="15" hidden="false" customHeight="true" outlineLevel="0" collapsed="false">
      <c r="A26" s="8" t="s">
        <v>1956</v>
      </c>
      <c r="B26" s="8" t="s">
        <v>1940</v>
      </c>
      <c r="C26" s="8" t="s">
        <v>1957</v>
      </c>
      <c r="D26" s="8" t="s">
        <v>77</v>
      </c>
      <c r="E26" s="8" t="s">
        <v>1958</v>
      </c>
      <c r="F26" s="8" t="s">
        <v>697</v>
      </c>
      <c r="G26" s="54" t="s">
        <v>931</v>
      </c>
      <c r="H26" s="8" t="s">
        <v>1959</v>
      </c>
      <c r="I26" s="8" t="s">
        <v>1960</v>
      </c>
      <c r="J26" s="17" t="s">
        <v>1923</v>
      </c>
      <c r="K26" s="53" t="n">
        <v>0</v>
      </c>
      <c r="L26" s="8"/>
    </row>
    <row r="27" customFormat="false" ht="15" hidden="false" customHeight="true" outlineLevel="0" collapsed="false">
      <c r="A27" s="5" t="s">
        <v>1961</v>
      </c>
      <c r="B27" s="5" t="s">
        <v>1940</v>
      </c>
      <c r="C27" s="5" t="s">
        <v>1962</v>
      </c>
      <c r="D27" s="5" t="s">
        <v>86</v>
      </c>
      <c r="E27" s="5" t="s">
        <v>1958</v>
      </c>
      <c r="F27" s="5" t="s">
        <v>697</v>
      </c>
      <c r="G27" s="54" t="s">
        <v>931</v>
      </c>
      <c r="H27" s="5" t="s">
        <v>1963</v>
      </c>
      <c r="I27" s="5" t="s">
        <v>1964</v>
      </c>
      <c r="J27" s="15" t="s">
        <v>1923</v>
      </c>
      <c r="K27" s="52" t="n">
        <v>0</v>
      </c>
      <c r="L27" s="5"/>
    </row>
    <row r="28" customFormat="false" ht="15" hidden="false" customHeight="true" outlineLevel="0" collapsed="false">
      <c r="A28" s="51" t="s">
        <v>1965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customFormat="false" ht="21.75" hidden="false" customHeight="true" outlineLevel="0" collapsed="false">
      <c r="A29" s="5" t="s">
        <v>1966</v>
      </c>
      <c r="B29" s="5" t="s">
        <v>1967</v>
      </c>
      <c r="C29" s="5" t="s">
        <v>1968</v>
      </c>
      <c r="D29" s="5" t="s">
        <v>841</v>
      </c>
      <c r="E29" s="5" t="s">
        <v>1799</v>
      </c>
      <c r="F29" s="5" t="s">
        <v>697</v>
      </c>
      <c r="G29" s="54" t="s">
        <v>931</v>
      </c>
      <c r="H29" s="5" t="s">
        <v>1969</v>
      </c>
      <c r="I29" s="5" t="s">
        <v>1970</v>
      </c>
      <c r="J29" s="15" t="s">
        <v>1923</v>
      </c>
      <c r="K29" s="52" t="n">
        <v>0</v>
      </c>
      <c r="L29" s="5"/>
    </row>
    <row r="30" customFormat="false" ht="21.75" hidden="false" customHeight="true" outlineLevel="0" collapsed="false">
      <c r="A30" s="8" t="s">
        <v>1971</v>
      </c>
      <c r="B30" s="8" t="s">
        <v>1967</v>
      </c>
      <c r="C30" s="8" t="s">
        <v>1972</v>
      </c>
      <c r="D30" s="8" t="s">
        <v>77</v>
      </c>
      <c r="E30" s="8" t="s">
        <v>1799</v>
      </c>
      <c r="F30" s="8" t="s">
        <v>697</v>
      </c>
      <c r="G30" s="54" t="s">
        <v>931</v>
      </c>
      <c r="H30" s="8" t="s">
        <v>1973</v>
      </c>
      <c r="I30" s="8" t="s">
        <v>1974</v>
      </c>
      <c r="J30" s="17" t="s">
        <v>1923</v>
      </c>
      <c r="K30" s="53" t="n">
        <v>0</v>
      </c>
      <c r="L30" s="8"/>
    </row>
    <row r="31" customFormat="false" ht="15" hidden="false" customHeight="true" outlineLevel="0" collapsed="false">
      <c r="A31" s="5" t="s">
        <v>1975</v>
      </c>
      <c r="B31" s="5" t="s">
        <v>1967</v>
      </c>
      <c r="C31" s="5" t="s">
        <v>1976</v>
      </c>
      <c r="D31" s="5" t="s">
        <v>86</v>
      </c>
      <c r="E31" s="5" t="s">
        <v>1821</v>
      </c>
      <c r="F31" s="5" t="s">
        <v>697</v>
      </c>
      <c r="G31" s="54" t="s">
        <v>931</v>
      </c>
      <c r="H31" s="5" t="s">
        <v>1977</v>
      </c>
      <c r="I31" s="5" t="s">
        <v>1879</v>
      </c>
      <c r="J31" s="15" t="s">
        <v>1923</v>
      </c>
      <c r="K31" s="52" t="n">
        <v>0</v>
      </c>
      <c r="L31" s="5"/>
    </row>
    <row r="32" customFormat="false" ht="15" hidden="false" customHeight="true" outlineLevel="0" collapsed="false">
      <c r="A32" s="8" t="s">
        <v>1978</v>
      </c>
      <c r="B32" s="8" t="s">
        <v>1967</v>
      </c>
      <c r="C32" s="8" t="s">
        <v>1979</v>
      </c>
      <c r="D32" s="8" t="s">
        <v>77</v>
      </c>
      <c r="E32" s="8" t="s">
        <v>1877</v>
      </c>
      <c r="F32" s="8" t="s">
        <v>697</v>
      </c>
      <c r="G32" s="54" t="s">
        <v>931</v>
      </c>
      <c r="H32" s="8" t="s">
        <v>1980</v>
      </c>
      <c r="I32" s="8" t="s">
        <v>1981</v>
      </c>
      <c r="J32" s="17" t="s">
        <v>1923</v>
      </c>
      <c r="K32" s="53" t="n">
        <v>0</v>
      </c>
      <c r="L32" s="8" t="s">
        <v>1982</v>
      </c>
    </row>
    <row r="33" customFormat="false" ht="15" hidden="false" customHeight="true" outlineLevel="0" collapsed="false">
      <c r="A33" s="5" t="s">
        <v>1983</v>
      </c>
      <c r="B33" s="5" t="s">
        <v>1967</v>
      </c>
      <c r="C33" s="5" t="s">
        <v>1984</v>
      </c>
      <c r="D33" s="5" t="s">
        <v>77</v>
      </c>
      <c r="E33" s="5" t="s">
        <v>1985</v>
      </c>
      <c r="F33" s="5" t="s">
        <v>718</v>
      </c>
      <c r="G33" s="54" t="s">
        <v>931</v>
      </c>
      <c r="H33" s="5" t="s">
        <v>1986</v>
      </c>
      <c r="I33" s="5" t="s">
        <v>1987</v>
      </c>
      <c r="J33" s="15" t="s">
        <v>1923</v>
      </c>
      <c r="K33" s="52" t="n">
        <v>0</v>
      </c>
      <c r="L33" s="5" t="s">
        <v>1100</v>
      </c>
    </row>
    <row r="34" customFormat="false" ht="15" hidden="false" customHeight="true" outlineLevel="0" collapsed="false">
      <c r="A34" s="51" t="s">
        <v>1988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customFormat="false" ht="21.75" hidden="false" customHeight="true" outlineLevel="0" collapsed="false">
      <c r="A35" s="5" t="s">
        <v>1989</v>
      </c>
      <c r="B35" s="5" t="s">
        <v>1990</v>
      </c>
      <c r="C35" s="5" t="s">
        <v>1991</v>
      </c>
      <c r="D35" s="5" t="s">
        <v>77</v>
      </c>
      <c r="E35" s="5" t="s">
        <v>1906</v>
      </c>
      <c r="F35" s="5" t="s">
        <v>718</v>
      </c>
      <c r="G35" s="54" t="s">
        <v>931</v>
      </c>
      <c r="H35" s="5" t="s">
        <v>1992</v>
      </c>
      <c r="I35" s="5" t="s">
        <v>1993</v>
      </c>
      <c r="J35" s="15" t="s">
        <v>1923</v>
      </c>
      <c r="K35" s="52" t="n">
        <v>0</v>
      </c>
      <c r="L35" s="5"/>
    </row>
    <row r="36" customFormat="false" ht="15" hidden="false" customHeight="true" outlineLevel="0" collapsed="false">
      <c r="A36" s="8" t="s">
        <v>1994</v>
      </c>
      <c r="B36" s="8" t="s">
        <v>1990</v>
      </c>
      <c r="C36" s="8" t="s">
        <v>1995</v>
      </c>
      <c r="D36" s="8" t="s">
        <v>77</v>
      </c>
      <c r="E36" s="8" t="s">
        <v>1942</v>
      </c>
      <c r="F36" s="8" t="s">
        <v>718</v>
      </c>
      <c r="G36" s="54" t="s">
        <v>931</v>
      </c>
      <c r="H36" s="8" t="s">
        <v>1996</v>
      </c>
      <c r="I36" s="8" t="s">
        <v>1993</v>
      </c>
      <c r="J36" s="17" t="s">
        <v>1923</v>
      </c>
      <c r="K36" s="53" t="n">
        <v>0</v>
      </c>
      <c r="L36" s="8"/>
    </row>
    <row r="37" customFormat="false" ht="21.75" hidden="false" customHeight="true" outlineLevel="0" collapsed="false">
      <c r="A37" s="5" t="s">
        <v>1997</v>
      </c>
      <c r="B37" s="5" t="s">
        <v>1990</v>
      </c>
      <c r="C37" s="5" t="s">
        <v>1998</v>
      </c>
      <c r="D37" s="5" t="s">
        <v>77</v>
      </c>
      <c r="E37" s="5" t="s">
        <v>1948</v>
      </c>
      <c r="F37" s="5" t="s">
        <v>179</v>
      </c>
      <c r="G37" s="54" t="s">
        <v>931</v>
      </c>
      <c r="H37" s="5" t="s">
        <v>1999</v>
      </c>
      <c r="I37" s="5" t="s">
        <v>2000</v>
      </c>
      <c r="J37" s="15" t="s">
        <v>1923</v>
      </c>
      <c r="K37" s="52" t="n">
        <v>0</v>
      </c>
      <c r="L37" s="5" t="s">
        <v>2001</v>
      </c>
    </row>
    <row r="38" customFormat="false" ht="21.75" hidden="false" customHeight="true" outlineLevel="0" collapsed="false">
      <c r="A38" s="8" t="s">
        <v>2002</v>
      </c>
      <c r="B38" s="8" t="s">
        <v>1990</v>
      </c>
      <c r="C38" s="8" t="s">
        <v>2003</v>
      </c>
      <c r="D38" s="8" t="s">
        <v>77</v>
      </c>
      <c r="E38" s="8" t="s">
        <v>2004</v>
      </c>
      <c r="F38" s="8" t="s">
        <v>718</v>
      </c>
      <c r="G38" s="54" t="s">
        <v>931</v>
      </c>
      <c r="H38" s="8" t="s">
        <v>2005</v>
      </c>
      <c r="I38" s="8" t="s">
        <v>2006</v>
      </c>
      <c r="J38" s="17" t="s">
        <v>1923</v>
      </c>
      <c r="K38" s="53" t="n">
        <v>0</v>
      </c>
      <c r="L38" s="8"/>
    </row>
    <row r="39" customFormat="false" ht="15" hidden="false" customHeight="true" outlineLevel="0" collapsed="false">
      <c r="A39" s="51" t="s">
        <v>2007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0" customFormat="false" ht="15" hidden="false" customHeight="true" outlineLevel="0" collapsed="false">
      <c r="A40" s="5" t="s">
        <v>2008</v>
      </c>
      <c r="B40" s="5" t="s">
        <v>2009</v>
      </c>
      <c r="C40" s="5" t="s">
        <v>2010</v>
      </c>
      <c r="D40" s="5" t="s">
        <v>77</v>
      </c>
      <c r="E40" s="5" t="s">
        <v>2011</v>
      </c>
      <c r="F40" s="5" t="s">
        <v>787</v>
      </c>
      <c r="G40" s="54" t="s">
        <v>931</v>
      </c>
      <c r="H40" s="5" t="s">
        <v>2012</v>
      </c>
      <c r="I40" s="5" t="s">
        <v>2013</v>
      </c>
      <c r="J40" s="15" t="s">
        <v>1923</v>
      </c>
      <c r="K40" s="52" t="n">
        <v>0</v>
      </c>
      <c r="L40" s="5"/>
    </row>
    <row r="41" customFormat="false" ht="15" hidden="false" customHeight="true" outlineLevel="0" collapsed="false">
      <c r="A41" s="8" t="s">
        <v>2014</v>
      </c>
      <c r="B41" s="8" t="s">
        <v>2009</v>
      </c>
      <c r="C41" s="8" t="s">
        <v>2015</v>
      </c>
      <c r="D41" s="8" t="s">
        <v>77</v>
      </c>
      <c r="E41" s="8" t="s">
        <v>2011</v>
      </c>
      <c r="F41" s="8" t="s">
        <v>697</v>
      </c>
      <c r="G41" s="54" t="s">
        <v>931</v>
      </c>
      <c r="H41" s="8" t="s">
        <v>2016</v>
      </c>
      <c r="I41" s="8" t="s">
        <v>2017</v>
      </c>
      <c r="J41" s="17" t="s">
        <v>1923</v>
      </c>
      <c r="K41" s="53" t="n">
        <v>0</v>
      </c>
      <c r="L41" s="8"/>
    </row>
    <row r="42" customFormat="false" ht="15" hidden="false" customHeight="true" outlineLevel="0" collapsed="false">
      <c r="A42" s="5" t="s">
        <v>2018</v>
      </c>
      <c r="B42" s="5" t="s">
        <v>2009</v>
      </c>
      <c r="C42" s="5" t="s">
        <v>2019</v>
      </c>
      <c r="D42" s="5" t="s">
        <v>77</v>
      </c>
      <c r="E42" s="5" t="s">
        <v>1754</v>
      </c>
      <c r="F42" s="5" t="s">
        <v>697</v>
      </c>
      <c r="G42" s="54" t="s">
        <v>931</v>
      </c>
      <c r="H42" s="5" t="s">
        <v>2020</v>
      </c>
      <c r="I42" s="5" t="s">
        <v>2021</v>
      </c>
      <c r="J42" s="15" t="s">
        <v>1923</v>
      </c>
      <c r="K42" s="52" t="n">
        <v>0</v>
      </c>
      <c r="L42" s="5"/>
    </row>
    <row r="43" customFormat="false" ht="15" hidden="false" customHeight="true" outlineLevel="0" collapsed="false">
      <c r="A43" s="8" t="s">
        <v>2022</v>
      </c>
      <c r="B43" s="8" t="s">
        <v>2009</v>
      </c>
      <c r="C43" s="8" t="s">
        <v>2023</v>
      </c>
      <c r="D43" s="8" t="s">
        <v>77</v>
      </c>
      <c r="E43" s="8" t="s">
        <v>2011</v>
      </c>
      <c r="F43" s="8" t="s">
        <v>718</v>
      </c>
      <c r="G43" s="54" t="s">
        <v>931</v>
      </c>
      <c r="H43" s="8" t="s">
        <v>2024</v>
      </c>
      <c r="I43" s="8" t="s">
        <v>2025</v>
      </c>
      <c r="J43" s="17" t="s">
        <v>1923</v>
      </c>
      <c r="K43" s="53" t="n">
        <v>0</v>
      </c>
      <c r="L43" s="8"/>
    </row>
    <row r="44" customFormat="false" ht="15" hidden="false" customHeight="true" outlineLevel="0" collapsed="false">
      <c r="A44" s="5" t="s">
        <v>2026</v>
      </c>
      <c r="B44" s="5" t="s">
        <v>2009</v>
      </c>
      <c r="C44" s="5" t="s">
        <v>2027</v>
      </c>
      <c r="D44" s="5" t="s">
        <v>77</v>
      </c>
      <c r="E44" s="5" t="s">
        <v>2028</v>
      </c>
      <c r="F44" s="5" t="s">
        <v>787</v>
      </c>
      <c r="G44" s="54" t="s">
        <v>931</v>
      </c>
      <c r="H44" s="5" t="s">
        <v>2029</v>
      </c>
      <c r="I44" s="5" t="s">
        <v>2030</v>
      </c>
      <c r="J44" s="15" t="s">
        <v>1923</v>
      </c>
      <c r="K44" s="52" t="n">
        <v>0</v>
      </c>
      <c r="L44" s="5"/>
    </row>
  </sheetData>
  <mergeCells count="8">
    <mergeCell ref="A1:L1"/>
    <mergeCell ref="A4:L4"/>
    <mergeCell ref="A11:L11"/>
    <mergeCell ref="A17:L17"/>
    <mergeCell ref="A22:L22"/>
    <mergeCell ref="A28:L28"/>
    <mergeCell ref="A34:L34"/>
    <mergeCell ref="A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2031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2032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21.75" hidden="false" customHeight="true" outlineLevel="0" collapsed="false">
      <c r="A5" s="5" t="s">
        <v>2033</v>
      </c>
      <c r="B5" s="5" t="s">
        <v>2034</v>
      </c>
      <c r="C5" s="5" t="s">
        <v>2035</v>
      </c>
      <c r="D5" s="5" t="s">
        <v>77</v>
      </c>
      <c r="E5" s="5" t="s">
        <v>736</v>
      </c>
      <c r="F5" s="5" t="s">
        <v>787</v>
      </c>
      <c r="G5" s="16" t="s">
        <v>84</v>
      </c>
      <c r="H5" s="5" t="s">
        <v>2036</v>
      </c>
      <c r="I5" s="5" t="s">
        <v>2037</v>
      </c>
      <c r="J5" s="15" t="s">
        <v>2038</v>
      </c>
      <c r="K5" s="52" t="n">
        <v>0</v>
      </c>
      <c r="L5" s="5"/>
    </row>
    <row r="6" customFormat="false" ht="21.75" hidden="false" customHeight="true" outlineLevel="0" collapsed="false">
      <c r="A6" s="8" t="s">
        <v>2039</v>
      </c>
      <c r="B6" s="8" t="s">
        <v>2034</v>
      </c>
      <c r="C6" s="8" t="s">
        <v>2040</v>
      </c>
      <c r="D6" s="8" t="s">
        <v>77</v>
      </c>
      <c r="E6" s="8" t="s">
        <v>713</v>
      </c>
      <c r="F6" s="8" t="s">
        <v>787</v>
      </c>
      <c r="G6" s="16" t="s">
        <v>84</v>
      </c>
      <c r="H6" s="8" t="s">
        <v>2041</v>
      </c>
      <c r="I6" s="8" t="s">
        <v>2042</v>
      </c>
      <c r="J6" s="17" t="s">
        <v>2038</v>
      </c>
      <c r="K6" s="53" t="n">
        <v>0</v>
      </c>
      <c r="L6" s="8"/>
    </row>
    <row r="7" customFormat="false" ht="21.75" hidden="false" customHeight="true" outlineLevel="0" collapsed="false">
      <c r="A7" s="5" t="s">
        <v>2043</v>
      </c>
      <c r="B7" s="5" t="s">
        <v>2034</v>
      </c>
      <c r="C7" s="5" t="s">
        <v>2044</v>
      </c>
      <c r="D7" s="5" t="s">
        <v>77</v>
      </c>
      <c r="E7" s="5" t="s">
        <v>755</v>
      </c>
      <c r="F7" s="5" t="s">
        <v>697</v>
      </c>
      <c r="G7" s="16" t="s">
        <v>84</v>
      </c>
      <c r="H7" s="5" t="s">
        <v>2045</v>
      </c>
      <c r="I7" s="5" t="s">
        <v>2046</v>
      </c>
      <c r="J7" s="15" t="s">
        <v>2038</v>
      </c>
      <c r="K7" s="52" t="n">
        <v>0</v>
      </c>
      <c r="L7" s="5"/>
    </row>
    <row r="8" customFormat="false" ht="15" hidden="false" customHeight="true" outlineLevel="0" collapsed="false">
      <c r="A8" s="8" t="s">
        <v>2047</v>
      </c>
      <c r="B8" s="8" t="s">
        <v>2034</v>
      </c>
      <c r="C8" s="8" t="s">
        <v>2048</v>
      </c>
      <c r="D8" s="8" t="s">
        <v>77</v>
      </c>
      <c r="E8" s="8" t="s">
        <v>724</v>
      </c>
      <c r="F8" s="8" t="s">
        <v>697</v>
      </c>
      <c r="G8" s="16" t="s">
        <v>84</v>
      </c>
      <c r="H8" s="8" t="s">
        <v>2049</v>
      </c>
      <c r="I8" s="8" t="s">
        <v>2050</v>
      </c>
      <c r="J8" s="17" t="s">
        <v>2038</v>
      </c>
      <c r="K8" s="53" t="n">
        <v>0</v>
      </c>
      <c r="L8" s="8"/>
    </row>
    <row r="9" customFormat="false" ht="21.75" hidden="false" customHeight="true" outlineLevel="0" collapsed="false">
      <c r="A9" s="5" t="s">
        <v>2051</v>
      </c>
      <c r="B9" s="5" t="s">
        <v>2034</v>
      </c>
      <c r="C9" s="5" t="s">
        <v>2052</v>
      </c>
      <c r="D9" s="5" t="s">
        <v>77</v>
      </c>
      <c r="E9" s="5" t="s">
        <v>906</v>
      </c>
      <c r="F9" s="5" t="s">
        <v>697</v>
      </c>
      <c r="G9" s="16" t="s">
        <v>84</v>
      </c>
      <c r="H9" s="5" t="s">
        <v>2053</v>
      </c>
      <c r="I9" s="5" t="s">
        <v>2054</v>
      </c>
      <c r="J9" s="15" t="s">
        <v>2038</v>
      </c>
      <c r="K9" s="52" t="n">
        <v>0</v>
      </c>
      <c r="L9" s="5"/>
    </row>
    <row r="10" customFormat="false" ht="15" hidden="false" customHeight="true" outlineLevel="0" collapsed="false">
      <c r="A10" s="51" t="s">
        <v>2055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</row>
    <row r="11" customFormat="false" ht="15" hidden="false" customHeight="true" outlineLevel="0" collapsed="false">
      <c r="A11" s="5" t="s">
        <v>2056</v>
      </c>
      <c r="B11" s="5" t="s">
        <v>2057</v>
      </c>
      <c r="C11" s="5" t="s">
        <v>2058</v>
      </c>
      <c r="D11" s="5" t="s">
        <v>77</v>
      </c>
      <c r="E11" s="5" t="s">
        <v>792</v>
      </c>
      <c r="F11" s="5" t="s">
        <v>697</v>
      </c>
      <c r="G11" s="16" t="s">
        <v>84</v>
      </c>
      <c r="H11" s="5" t="s">
        <v>2059</v>
      </c>
      <c r="I11" s="5" t="s">
        <v>2060</v>
      </c>
      <c r="J11" s="15" t="s">
        <v>2038</v>
      </c>
      <c r="K11" s="52" t="n">
        <v>0</v>
      </c>
      <c r="L11" s="5"/>
    </row>
    <row r="12" customFormat="false" ht="15" hidden="false" customHeight="true" outlineLevel="0" collapsed="false">
      <c r="A12" s="8" t="s">
        <v>2061</v>
      </c>
      <c r="B12" s="8" t="s">
        <v>2057</v>
      </c>
      <c r="C12" s="8" t="s">
        <v>2062</v>
      </c>
      <c r="D12" s="8" t="s">
        <v>77</v>
      </c>
      <c r="E12" s="8" t="s">
        <v>842</v>
      </c>
      <c r="F12" s="8" t="s">
        <v>718</v>
      </c>
      <c r="G12" s="16" t="s">
        <v>84</v>
      </c>
      <c r="H12" s="8" t="s">
        <v>2063</v>
      </c>
      <c r="I12" s="8" t="s">
        <v>2064</v>
      </c>
      <c r="J12" s="17" t="s">
        <v>2038</v>
      </c>
      <c r="K12" s="53" t="n">
        <v>0</v>
      </c>
      <c r="L12" s="8"/>
    </row>
    <row r="13" customFormat="false" ht="21.75" hidden="false" customHeight="true" outlineLevel="0" collapsed="false">
      <c r="A13" s="5" t="s">
        <v>2065</v>
      </c>
      <c r="B13" s="5" t="s">
        <v>2057</v>
      </c>
      <c r="C13" s="5" t="s">
        <v>2066</v>
      </c>
      <c r="D13" s="5" t="s">
        <v>77</v>
      </c>
      <c r="E13" s="5" t="s">
        <v>821</v>
      </c>
      <c r="F13" s="5" t="s">
        <v>718</v>
      </c>
      <c r="G13" s="16" t="s">
        <v>84</v>
      </c>
      <c r="H13" s="5" t="s">
        <v>2067</v>
      </c>
      <c r="I13" s="5" t="s">
        <v>2068</v>
      </c>
      <c r="J13" s="15" t="s">
        <v>2038</v>
      </c>
      <c r="K13" s="52" t="n">
        <v>0</v>
      </c>
      <c r="L13" s="5"/>
    </row>
    <row r="14" customFormat="false" ht="15" hidden="false" customHeight="true" outlineLevel="0" collapsed="false">
      <c r="A14" s="8" t="s">
        <v>2069</v>
      </c>
      <c r="B14" s="8" t="s">
        <v>2057</v>
      </c>
      <c r="C14" s="8" t="s">
        <v>2070</v>
      </c>
      <c r="D14" s="8" t="s">
        <v>77</v>
      </c>
      <c r="E14" s="8" t="s">
        <v>881</v>
      </c>
      <c r="F14" s="8" t="s">
        <v>179</v>
      </c>
      <c r="G14" s="16" t="s">
        <v>84</v>
      </c>
      <c r="H14" s="8" t="s">
        <v>2071</v>
      </c>
      <c r="I14" s="8" t="s">
        <v>2072</v>
      </c>
      <c r="J14" s="17" t="s">
        <v>2038</v>
      </c>
      <c r="K14" s="53" t="n">
        <v>0</v>
      </c>
      <c r="L14" s="8"/>
    </row>
    <row r="15" customFormat="false" ht="21.75" hidden="false" customHeight="true" outlineLevel="0" collapsed="false">
      <c r="A15" s="5" t="s">
        <v>2073</v>
      </c>
      <c r="B15" s="5" t="s">
        <v>2057</v>
      </c>
      <c r="C15" s="5" t="s">
        <v>2074</v>
      </c>
      <c r="D15" s="5" t="s">
        <v>77</v>
      </c>
      <c r="E15" s="5" t="s">
        <v>865</v>
      </c>
      <c r="F15" s="5" t="s">
        <v>697</v>
      </c>
      <c r="G15" s="16" t="s">
        <v>84</v>
      </c>
      <c r="H15" s="5" t="s">
        <v>2075</v>
      </c>
      <c r="I15" s="5" t="s">
        <v>2076</v>
      </c>
      <c r="J15" s="15" t="s">
        <v>2038</v>
      </c>
      <c r="K15" s="52" t="n">
        <v>0</v>
      </c>
      <c r="L15" s="5"/>
    </row>
    <row r="16" customFormat="false" ht="15" hidden="false" customHeight="true" outlineLevel="0" collapsed="false">
      <c r="A16" s="51" t="s">
        <v>2077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</row>
    <row r="17" customFormat="false" ht="15" hidden="false" customHeight="true" outlineLevel="0" collapsed="false">
      <c r="A17" s="5" t="s">
        <v>2078</v>
      </c>
      <c r="B17" s="5" t="s">
        <v>2079</v>
      </c>
      <c r="C17" s="5" t="s">
        <v>2080</v>
      </c>
      <c r="D17" s="5" t="s">
        <v>77</v>
      </c>
      <c r="E17" s="5" t="s">
        <v>865</v>
      </c>
      <c r="F17" s="5" t="s">
        <v>787</v>
      </c>
      <c r="G17" s="54" t="s">
        <v>931</v>
      </c>
      <c r="H17" s="5" t="s">
        <v>2081</v>
      </c>
      <c r="I17" s="5" t="s">
        <v>2082</v>
      </c>
      <c r="J17" s="15" t="s">
        <v>2083</v>
      </c>
      <c r="K17" s="52" t="n">
        <v>0</v>
      </c>
      <c r="L17" s="5"/>
    </row>
    <row r="18" customFormat="false" ht="21.75" hidden="false" customHeight="true" outlineLevel="0" collapsed="false">
      <c r="A18" s="8" t="s">
        <v>2084</v>
      </c>
      <c r="B18" s="8" t="s">
        <v>2079</v>
      </c>
      <c r="C18" s="8" t="s">
        <v>2085</v>
      </c>
      <c r="D18" s="8" t="s">
        <v>77</v>
      </c>
      <c r="E18" s="8" t="s">
        <v>1180</v>
      </c>
      <c r="F18" s="8" t="s">
        <v>697</v>
      </c>
      <c r="G18" s="54" t="s">
        <v>931</v>
      </c>
      <c r="H18" s="8" t="s">
        <v>2086</v>
      </c>
      <c r="I18" s="8" t="s">
        <v>2087</v>
      </c>
      <c r="J18" s="17" t="s">
        <v>2083</v>
      </c>
      <c r="K18" s="53" t="n">
        <v>0</v>
      </c>
      <c r="L18" s="8"/>
    </row>
    <row r="19" customFormat="false" ht="15" hidden="false" customHeight="true" outlineLevel="0" collapsed="false">
      <c r="A19" s="5" t="s">
        <v>2088</v>
      </c>
      <c r="B19" s="5" t="s">
        <v>2079</v>
      </c>
      <c r="C19" s="5" t="s">
        <v>2089</v>
      </c>
      <c r="D19" s="5" t="s">
        <v>77</v>
      </c>
      <c r="E19" s="5" t="s">
        <v>1658</v>
      </c>
      <c r="F19" s="5" t="s">
        <v>179</v>
      </c>
      <c r="G19" s="54" t="s">
        <v>931</v>
      </c>
      <c r="H19" s="5" t="s">
        <v>2090</v>
      </c>
      <c r="I19" s="5" t="s">
        <v>2091</v>
      </c>
      <c r="J19" s="15" t="s">
        <v>2083</v>
      </c>
      <c r="K19" s="52" t="n">
        <v>0</v>
      </c>
      <c r="L19" s="5"/>
    </row>
    <row r="20" customFormat="false" ht="21.75" hidden="false" customHeight="true" outlineLevel="0" collapsed="false">
      <c r="A20" s="8" t="s">
        <v>2092</v>
      </c>
      <c r="B20" s="8" t="s">
        <v>2079</v>
      </c>
      <c r="C20" s="8" t="s">
        <v>2093</v>
      </c>
      <c r="D20" s="8" t="s">
        <v>77</v>
      </c>
      <c r="E20" s="8" t="s">
        <v>1180</v>
      </c>
      <c r="F20" s="8" t="s">
        <v>718</v>
      </c>
      <c r="G20" s="54" t="s">
        <v>931</v>
      </c>
      <c r="H20" s="8" t="s">
        <v>2094</v>
      </c>
      <c r="I20" s="8" t="s">
        <v>2095</v>
      </c>
      <c r="J20" s="17" t="s">
        <v>2083</v>
      </c>
      <c r="K20" s="53" t="n">
        <v>0</v>
      </c>
      <c r="L20" s="8"/>
    </row>
    <row r="21" customFormat="false" ht="21.75" hidden="false" customHeight="true" outlineLevel="0" collapsed="false">
      <c r="A21" s="5" t="s">
        <v>2096</v>
      </c>
      <c r="B21" s="5" t="s">
        <v>2079</v>
      </c>
      <c r="C21" s="5" t="s">
        <v>2097</v>
      </c>
      <c r="D21" s="5" t="s">
        <v>77</v>
      </c>
      <c r="E21" s="5" t="s">
        <v>886</v>
      </c>
      <c r="F21" s="5" t="s">
        <v>697</v>
      </c>
      <c r="G21" s="54" t="s">
        <v>931</v>
      </c>
      <c r="H21" s="5" t="s">
        <v>2098</v>
      </c>
      <c r="I21" s="5" t="s">
        <v>2099</v>
      </c>
      <c r="J21" s="15" t="s">
        <v>2083</v>
      </c>
      <c r="K21" s="52" t="n">
        <v>0</v>
      </c>
      <c r="L21" s="5"/>
    </row>
    <row r="22" customFormat="false" ht="15" hidden="false" customHeight="true" outlineLevel="0" collapsed="false">
      <c r="A22" s="51" t="s">
        <v>2100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customFormat="false" ht="21.75" hidden="false" customHeight="true" outlineLevel="0" collapsed="false">
      <c r="A23" s="5" t="s">
        <v>2101</v>
      </c>
      <c r="B23" s="5" t="s">
        <v>2102</v>
      </c>
      <c r="C23" s="5" t="s">
        <v>2103</v>
      </c>
      <c r="D23" s="5" t="s">
        <v>77</v>
      </c>
      <c r="E23" s="5" t="s">
        <v>696</v>
      </c>
      <c r="F23" s="5" t="s">
        <v>787</v>
      </c>
      <c r="G23" s="54" t="s">
        <v>931</v>
      </c>
      <c r="H23" s="5" t="s">
        <v>2104</v>
      </c>
      <c r="I23" s="5" t="s">
        <v>2105</v>
      </c>
      <c r="J23" s="15" t="s">
        <v>2083</v>
      </c>
      <c r="K23" s="52" t="n">
        <v>0</v>
      </c>
      <c r="L23" s="5"/>
    </row>
    <row r="24" customFormat="false" ht="21.75" hidden="false" customHeight="true" outlineLevel="0" collapsed="false">
      <c r="A24" s="8" t="s">
        <v>2106</v>
      </c>
      <c r="B24" s="8" t="s">
        <v>2102</v>
      </c>
      <c r="C24" s="8" t="s">
        <v>2107</v>
      </c>
      <c r="D24" s="8" t="s">
        <v>77</v>
      </c>
      <c r="E24" s="8" t="s">
        <v>2108</v>
      </c>
      <c r="F24" s="8" t="s">
        <v>718</v>
      </c>
      <c r="G24" s="54" t="s">
        <v>931</v>
      </c>
      <c r="H24" s="8" t="s">
        <v>2109</v>
      </c>
      <c r="I24" s="8" t="s">
        <v>2110</v>
      </c>
      <c r="J24" s="17" t="s">
        <v>2083</v>
      </c>
      <c r="K24" s="53" t="n">
        <v>0</v>
      </c>
      <c r="L24" s="8"/>
    </row>
    <row r="25" customFormat="false" ht="21.75" hidden="false" customHeight="true" outlineLevel="0" collapsed="false">
      <c r="A25" s="5" t="s">
        <v>2111</v>
      </c>
      <c r="B25" s="5" t="s">
        <v>2102</v>
      </c>
      <c r="C25" s="5" t="s">
        <v>2112</v>
      </c>
      <c r="D25" s="5" t="s">
        <v>77</v>
      </c>
      <c r="E25" s="5" t="s">
        <v>2108</v>
      </c>
      <c r="F25" s="5" t="s">
        <v>718</v>
      </c>
      <c r="G25" s="54" t="s">
        <v>931</v>
      </c>
      <c r="H25" s="5" t="s">
        <v>2113</v>
      </c>
      <c r="I25" s="5" t="s">
        <v>2114</v>
      </c>
      <c r="J25" s="15" t="s">
        <v>2083</v>
      </c>
      <c r="K25" s="52" t="n">
        <v>0</v>
      </c>
      <c r="L25" s="5"/>
    </row>
    <row r="26" customFormat="false" ht="21.75" hidden="false" customHeight="true" outlineLevel="0" collapsed="false">
      <c r="A26" s="8" t="s">
        <v>2115</v>
      </c>
      <c r="B26" s="8" t="s">
        <v>2102</v>
      </c>
      <c r="C26" s="8" t="s">
        <v>2116</v>
      </c>
      <c r="D26" s="8" t="s">
        <v>77</v>
      </c>
      <c r="E26" s="8" t="s">
        <v>2117</v>
      </c>
      <c r="F26" s="8" t="s">
        <v>718</v>
      </c>
      <c r="G26" s="54" t="s">
        <v>931</v>
      </c>
      <c r="H26" s="8" t="s">
        <v>2118</v>
      </c>
      <c r="I26" s="8" t="s">
        <v>2119</v>
      </c>
      <c r="J26" s="17" t="s">
        <v>2083</v>
      </c>
      <c r="K26" s="53" t="n">
        <v>0</v>
      </c>
      <c r="L26" s="8"/>
    </row>
    <row r="27" customFormat="false" ht="15" hidden="false" customHeight="true" outlineLevel="0" collapsed="false">
      <c r="A27" s="5" t="s">
        <v>2120</v>
      </c>
      <c r="B27" s="5" t="s">
        <v>2102</v>
      </c>
      <c r="C27" s="5" t="s">
        <v>2121</v>
      </c>
      <c r="D27" s="5" t="s">
        <v>77</v>
      </c>
      <c r="E27" s="5" t="s">
        <v>906</v>
      </c>
      <c r="F27" s="5" t="s">
        <v>697</v>
      </c>
      <c r="G27" s="54" t="s">
        <v>931</v>
      </c>
      <c r="H27" s="5" t="s">
        <v>2122</v>
      </c>
      <c r="I27" s="5" t="s">
        <v>2123</v>
      </c>
      <c r="J27" s="15" t="s">
        <v>2083</v>
      </c>
      <c r="K27" s="52" t="n">
        <v>0</v>
      </c>
      <c r="L27" s="5"/>
    </row>
    <row r="28" customFormat="false" ht="15" hidden="false" customHeight="true" outlineLevel="0" collapsed="false">
      <c r="A28" s="51" t="s">
        <v>2124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customFormat="false" ht="15" hidden="false" customHeight="true" outlineLevel="0" collapsed="false">
      <c r="A29" s="5" t="s">
        <v>2125</v>
      </c>
      <c r="B29" s="5" t="s">
        <v>2126</v>
      </c>
      <c r="C29" s="5" t="s">
        <v>2127</v>
      </c>
      <c r="D29" s="5" t="s">
        <v>77</v>
      </c>
      <c r="E29" s="5" t="s">
        <v>1423</v>
      </c>
      <c r="F29" s="5" t="s">
        <v>697</v>
      </c>
      <c r="G29" s="54" t="s">
        <v>931</v>
      </c>
      <c r="H29" s="5" t="s">
        <v>2128</v>
      </c>
      <c r="I29" s="5" t="s">
        <v>2129</v>
      </c>
      <c r="J29" s="15" t="s">
        <v>2083</v>
      </c>
      <c r="K29" s="52" t="n">
        <v>0</v>
      </c>
      <c r="L29" s="5"/>
    </row>
    <row r="30" customFormat="false" ht="21.75" hidden="false" customHeight="true" outlineLevel="0" collapsed="false">
      <c r="A30" s="8" t="s">
        <v>2130</v>
      </c>
      <c r="B30" s="8" t="s">
        <v>2126</v>
      </c>
      <c r="C30" s="8" t="s">
        <v>2131</v>
      </c>
      <c r="D30" s="8" t="s">
        <v>77</v>
      </c>
      <c r="E30" s="8" t="s">
        <v>1860</v>
      </c>
      <c r="F30" s="8" t="s">
        <v>697</v>
      </c>
      <c r="G30" s="54" t="s">
        <v>931</v>
      </c>
      <c r="H30" s="8" t="s">
        <v>2132</v>
      </c>
      <c r="I30" s="8" t="s">
        <v>2133</v>
      </c>
      <c r="J30" s="17" t="s">
        <v>2083</v>
      </c>
      <c r="K30" s="53" t="n">
        <v>0</v>
      </c>
      <c r="L30" s="8"/>
    </row>
    <row r="31" customFormat="false" ht="15" hidden="false" customHeight="true" outlineLevel="0" collapsed="false">
      <c r="A31" s="5" t="s">
        <v>2134</v>
      </c>
      <c r="B31" s="5" t="s">
        <v>2126</v>
      </c>
      <c r="C31" s="5" t="s">
        <v>2135</v>
      </c>
      <c r="D31" s="5" t="s">
        <v>77</v>
      </c>
      <c r="E31" s="5" t="s">
        <v>1860</v>
      </c>
      <c r="F31" s="5" t="s">
        <v>697</v>
      </c>
      <c r="G31" s="54" t="s">
        <v>931</v>
      </c>
      <c r="H31" s="5" t="s">
        <v>2136</v>
      </c>
      <c r="I31" s="5" t="s">
        <v>2137</v>
      </c>
      <c r="J31" s="15" t="s">
        <v>2083</v>
      </c>
      <c r="K31" s="52" t="n">
        <v>0</v>
      </c>
      <c r="L31" s="5"/>
    </row>
    <row r="32" customFormat="false" ht="15" hidden="false" customHeight="true" outlineLevel="0" collapsed="false">
      <c r="A32" s="8" t="s">
        <v>2138</v>
      </c>
      <c r="B32" s="8" t="s">
        <v>2126</v>
      </c>
      <c r="C32" s="8" t="s">
        <v>2139</v>
      </c>
      <c r="D32" s="8" t="s">
        <v>77</v>
      </c>
      <c r="E32" s="8" t="s">
        <v>2140</v>
      </c>
      <c r="F32" s="8" t="s">
        <v>718</v>
      </c>
      <c r="G32" s="54" t="s">
        <v>931</v>
      </c>
      <c r="H32" s="8" t="s">
        <v>2141</v>
      </c>
      <c r="I32" s="8" t="s">
        <v>2142</v>
      </c>
      <c r="J32" s="17" t="s">
        <v>2083</v>
      </c>
      <c r="K32" s="53" t="n">
        <v>0</v>
      </c>
      <c r="L32" s="8"/>
    </row>
  </sheetData>
  <mergeCells count="6">
    <mergeCell ref="A1:L1"/>
    <mergeCell ref="A4:L4"/>
    <mergeCell ref="A10:L10"/>
    <mergeCell ref="A16:L16"/>
    <mergeCell ref="A22:L22"/>
    <mergeCell ref="A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2143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2144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15" hidden="false" customHeight="true" outlineLevel="0" collapsed="false">
      <c r="A5" s="5" t="s">
        <v>2145</v>
      </c>
      <c r="B5" s="5" t="s">
        <v>2146</v>
      </c>
      <c r="C5" s="5" t="s">
        <v>2147</v>
      </c>
      <c r="D5" s="5" t="s">
        <v>77</v>
      </c>
      <c r="E5" s="5" t="s">
        <v>817</v>
      </c>
      <c r="F5" s="5" t="s">
        <v>697</v>
      </c>
      <c r="G5" s="16" t="s">
        <v>84</v>
      </c>
      <c r="H5" s="5" t="s">
        <v>2148</v>
      </c>
      <c r="I5" s="5" t="s">
        <v>1022</v>
      </c>
      <c r="J5" s="15" t="s">
        <v>2149</v>
      </c>
      <c r="K5" s="52" t="n">
        <v>0</v>
      </c>
      <c r="L5" s="5"/>
    </row>
    <row r="6" customFormat="false" ht="15" hidden="false" customHeight="true" outlineLevel="0" collapsed="false">
      <c r="A6" s="8" t="s">
        <v>2150</v>
      </c>
      <c r="B6" s="8" t="s">
        <v>2146</v>
      </c>
      <c r="C6" s="8" t="s">
        <v>2151</v>
      </c>
      <c r="D6" s="8" t="s">
        <v>77</v>
      </c>
      <c r="E6" s="8" t="s">
        <v>852</v>
      </c>
      <c r="F6" s="8" t="s">
        <v>697</v>
      </c>
      <c r="G6" s="16" t="s">
        <v>84</v>
      </c>
      <c r="H6" s="8" t="s">
        <v>2152</v>
      </c>
      <c r="I6" s="8" t="s">
        <v>2153</v>
      </c>
      <c r="J6" s="17" t="s">
        <v>2149</v>
      </c>
      <c r="K6" s="53" t="n">
        <v>0</v>
      </c>
      <c r="L6" s="8"/>
    </row>
    <row r="7" customFormat="false" ht="15" hidden="false" customHeight="true" outlineLevel="0" collapsed="false">
      <c r="A7" s="5" t="s">
        <v>2154</v>
      </c>
      <c r="B7" s="5" t="s">
        <v>2146</v>
      </c>
      <c r="C7" s="5" t="s">
        <v>2155</v>
      </c>
      <c r="D7" s="5" t="s">
        <v>77</v>
      </c>
      <c r="E7" s="5" t="s">
        <v>852</v>
      </c>
      <c r="F7" s="5" t="s">
        <v>718</v>
      </c>
      <c r="G7" s="16" t="s">
        <v>84</v>
      </c>
      <c r="H7" s="5" t="s">
        <v>2156</v>
      </c>
      <c r="I7" s="5" t="s">
        <v>2153</v>
      </c>
      <c r="J7" s="15" t="s">
        <v>2149</v>
      </c>
      <c r="K7" s="52" t="n">
        <v>0</v>
      </c>
      <c r="L7" s="5"/>
    </row>
    <row r="8" customFormat="false" ht="15" hidden="false" customHeight="true" outlineLevel="0" collapsed="false">
      <c r="A8" s="8" t="s">
        <v>2157</v>
      </c>
      <c r="B8" s="8" t="s">
        <v>2146</v>
      </c>
      <c r="C8" s="8" t="s">
        <v>2158</v>
      </c>
      <c r="D8" s="8" t="s">
        <v>77</v>
      </c>
      <c r="E8" s="8" t="s">
        <v>852</v>
      </c>
      <c r="F8" s="8" t="s">
        <v>718</v>
      </c>
      <c r="G8" s="16" t="s">
        <v>84</v>
      </c>
      <c r="H8" s="8" t="s">
        <v>2159</v>
      </c>
      <c r="I8" s="8" t="s">
        <v>2160</v>
      </c>
      <c r="J8" s="17" t="s">
        <v>2149</v>
      </c>
      <c r="K8" s="53" t="n">
        <v>0</v>
      </c>
      <c r="L8" s="8"/>
    </row>
    <row r="9" customFormat="false" ht="21.75" hidden="false" customHeight="true" outlineLevel="0" collapsed="false">
      <c r="A9" s="5" t="s">
        <v>2161</v>
      </c>
      <c r="B9" s="5" t="s">
        <v>2146</v>
      </c>
      <c r="C9" s="5" t="s">
        <v>2162</v>
      </c>
      <c r="D9" s="5" t="s">
        <v>77</v>
      </c>
      <c r="E9" s="5" t="s">
        <v>834</v>
      </c>
      <c r="F9" s="5" t="s">
        <v>697</v>
      </c>
      <c r="G9" s="16" t="s">
        <v>84</v>
      </c>
      <c r="H9" s="5" t="s">
        <v>2163</v>
      </c>
      <c r="I9" s="5" t="s">
        <v>2164</v>
      </c>
      <c r="J9" s="15" t="s">
        <v>2149</v>
      </c>
      <c r="K9" s="52" t="n">
        <v>0</v>
      </c>
      <c r="L9" s="5"/>
    </row>
    <row r="10" customFormat="false" ht="21.75" hidden="false" customHeight="true" outlineLevel="0" collapsed="false">
      <c r="A10" s="8" t="s">
        <v>2165</v>
      </c>
      <c r="B10" s="8" t="s">
        <v>2146</v>
      </c>
      <c r="C10" s="8" t="s">
        <v>2166</v>
      </c>
      <c r="D10" s="8" t="s">
        <v>77</v>
      </c>
      <c r="E10" s="8" t="s">
        <v>881</v>
      </c>
      <c r="F10" s="8" t="s">
        <v>718</v>
      </c>
      <c r="G10" s="16" t="s">
        <v>84</v>
      </c>
      <c r="H10" s="8" t="s">
        <v>2167</v>
      </c>
      <c r="I10" s="8" t="s">
        <v>2168</v>
      </c>
      <c r="J10" s="17" t="s">
        <v>2149</v>
      </c>
      <c r="K10" s="53" t="n">
        <v>0</v>
      </c>
      <c r="L10" s="8"/>
    </row>
    <row r="11" customFormat="false" ht="15" hidden="false" customHeight="true" outlineLevel="0" collapsed="false">
      <c r="A11" s="51" t="s">
        <v>2169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customFormat="false" ht="21.75" hidden="false" customHeight="true" outlineLevel="0" collapsed="false">
      <c r="A12" s="5" t="s">
        <v>2170</v>
      </c>
      <c r="B12" s="5" t="s">
        <v>2171</v>
      </c>
      <c r="C12" s="5" t="s">
        <v>2172</v>
      </c>
      <c r="D12" s="5" t="s">
        <v>77</v>
      </c>
      <c r="E12" s="5" t="s">
        <v>821</v>
      </c>
      <c r="F12" s="5" t="s">
        <v>697</v>
      </c>
      <c r="G12" s="16" t="s">
        <v>84</v>
      </c>
      <c r="H12" s="5" t="s">
        <v>2173</v>
      </c>
      <c r="I12" s="5" t="s">
        <v>2174</v>
      </c>
      <c r="J12" s="15" t="s">
        <v>2149</v>
      </c>
      <c r="K12" s="52" t="n">
        <v>0</v>
      </c>
      <c r="L12" s="5"/>
    </row>
    <row r="13" customFormat="false" ht="21.75" hidden="false" customHeight="true" outlineLevel="0" collapsed="false">
      <c r="A13" s="8" t="s">
        <v>2175</v>
      </c>
      <c r="B13" s="8" t="s">
        <v>2171</v>
      </c>
      <c r="C13" s="8" t="s">
        <v>2176</v>
      </c>
      <c r="D13" s="8" t="s">
        <v>77</v>
      </c>
      <c r="E13" s="8" t="s">
        <v>852</v>
      </c>
      <c r="F13" s="8" t="s">
        <v>718</v>
      </c>
      <c r="G13" s="16" t="s">
        <v>84</v>
      </c>
      <c r="H13" s="8" t="s">
        <v>2177</v>
      </c>
      <c r="I13" s="8" t="s">
        <v>2178</v>
      </c>
      <c r="J13" s="17" t="s">
        <v>2149</v>
      </c>
      <c r="K13" s="53" t="n">
        <v>0</v>
      </c>
      <c r="L13" s="8"/>
    </row>
    <row r="14" customFormat="false" ht="21.75" hidden="false" customHeight="true" outlineLevel="0" collapsed="false">
      <c r="A14" s="5" t="s">
        <v>2179</v>
      </c>
      <c r="B14" s="5" t="s">
        <v>2171</v>
      </c>
      <c r="C14" s="5" t="s">
        <v>2180</v>
      </c>
      <c r="D14" s="5" t="s">
        <v>77</v>
      </c>
      <c r="E14" s="5" t="s">
        <v>881</v>
      </c>
      <c r="F14" s="5" t="s">
        <v>179</v>
      </c>
      <c r="G14" s="16" t="s">
        <v>84</v>
      </c>
      <c r="H14" s="5" t="s">
        <v>2181</v>
      </c>
      <c r="I14" s="5" t="s">
        <v>2182</v>
      </c>
      <c r="J14" s="15" t="s">
        <v>2149</v>
      </c>
      <c r="K14" s="52" t="n">
        <v>0</v>
      </c>
      <c r="L14" s="5"/>
    </row>
    <row r="15" customFormat="false" ht="15" hidden="false" customHeight="true" outlineLevel="0" collapsed="false">
      <c r="A15" s="8" t="s">
        <v>2183</v>
      </c>
      <c r="B15" s="8" t="s">
        <v>2171</v>
      </c>
      <c r="C15" s="8" t="s">
        <v>2184</v>
      </c>
      <c r="D15" s="8" t="s">
        <v>77</v>
      </c>
      <c r="E15" s="8" t="s">
        <v>886</v>
      </c>
      <c r="F15" s="8" t="s">
        <v>718</v>
      </c>
      <c r="G15" s="16" t="s">
        <v>84</v>
      </c>
      <c r="H15" s="8" t="s">
        <v>2185</v>
      </c>
      <c r="I15" s="8" t="s">
        <v>2186</v>
      </c>
      <c r="J15" s="17" t="s">
        <v>2149</v>
      </c>
      <c r="K15" s="53" t="n">
        <v>0</v>
      </c>
      <c r="L15" s="8"/>
    </row>
    <row r="16" customFormat="false" ht="21.75" hidden="false" customHeight="true" outlineLevel="0" collapsed="false">
      <c r="A16" s="5" t="s">
        <v>2187</v>
      </c>
      <c r="B16" s="5" t="s">
        <v>2171</v>
      </c>
      <c r="C16" s="5" t="s">
        <v>2188</v>
      </c>
      <c r="D16" s="5" t="s">
        <v>77</v>
      </c>
      <c r="E16" s="5" t="s">
        <v>1658</v>
      </c>
      <c r="F16" s="5" t="s">
        <v>718</v>
      </c>
      <c r="G16" s="16" t="s">
        <v>84</v>
      </c>
      <c r="H16" s="5" t="s">
        <v>2189</v>
      </c>
      <c r="I16" s="5" t="s">
        <v>2190</v>
      </c>
      <c r="J16" s="15" t="s">
        <v>2149</v>
      </c>
      <c r="K16" s="52" t="n">
        <v>0</v>
      </c>
      <c r="L16" s="5"/>
    </row>
    <row r="17" customFormat="false" ht="15" hidden="false" customHeight="true" outlineLevel="0" collapsed="false">
      <c r="A17" s="51" t="s">
        <v>2191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</row>
    <row r="18" customFormat="false" ht="15" hidden="false" customHeight="true" outlineLevel="0" collapsed="false">
      <c r="A18" s="5" t="s">
        <v>2192</v>
      </c>
      <c r="B18" s="5" t="s">
        <v>2193</v>
      </c>
      <c r="C18" s="5" t="s">
        <v>2194</v>
      </c>
      <c r="D18" s="5" t="s">
        <v>77</v>
      </c>
      <c r="E18" s="5" t="s">
        <v>1180</v>
      </c>
      <c r="F18" s="5" t="s">
        <v>697</v>
      </c>
      <c r="G18" s="54" t="s">
        <v>931</v>
      </c>
      <c r="H18" s="5" t="s">
        <v>2195</v>
      </c>
      <c r="I18" s="5" t="s">
        <v>1017</v>
      </c>
      <c r="J18" s="15" t="s">
        <v>2196</v>
      </c>
      <c r="K18" s="52" t="n">
        <v>0</v>
      </c>
      <c r="L18" s="5" t="s">
        <v>2197</v>
      </c>
    </row>
    <row r="19" customFormat="false" ht="15" hidden="false" customHeight="true" outlineLevel="0" collapsed="false">
      <c r="A19" s="8" t="s">
        <v>2198</v>
      </c>
      <c r="B19" s="8" t="s">
        <v>2193</v>
      </c>
      <c r="C19" s="8" t="s">
        <v>2199</v>
      </c>
      <c r="D19" s="8" t="s">
        <v>77</v>
      </c>
      <c r="E19" s="8" t="s">
        <v>1082</v>
      </c>
      <c r="F19" s="8" t="s">
        <v>718</v>
      </c>
      <c r="G19" s="54" t="s">
        <v>931</v>
      </c>
      <c r="H19" s="8" t="s">
        <v>2200</v>
      </c>
      <c r="I19" s="8" t="s">
        <v>2201</v>
      </c>
      <c r="J19" s="17" t="s">
        <v>2196</v>
      </c>
      <c r="K19" s="53" t="n">
        <v>0</v>
      </c>
      <c r="L19" s="8"/>
    </row>
    <row r="20" customFormat="false" ht="15" hidden="false" customHeight="true" outlineLevel="0" collapsed="false">
      <c r="A20" s="5" t="s">
        <v>2202</v>
      </c>
      <c r="B20" s="5" t="s">
        <v>2193</v>
      </c>
      <c r="C20" s="5" t="s">
        <v>2203</v>
      </c>
      <c r="D20" s="5" t="s">
        <v>77</v>
      </c>
      <c r="E20" s="5" t="s">
        <v>1064</v>
      </c>
      <c r="F20" s="5" t="s">
        <v>718</v>
      </c>
      <c r="G20" s="54" t="s">
        <v>931</v>
      </c>
      <c r="H20" s="5" t="s">
        <v>2160</v>
      </c>
      <c r="I20" s="5" t="s">
        <v>2204</v>
      </c>
      <c r="J20" s="15" t="s">
        <v>2196</v>
      </c>
      <c r="K20" s="52" t="n">
        <v>0</v>
      </c>
      <c r="L20" s="5"/>
    </row>
    <row r="21" customFormat="false" ht="15" hidden="false" customHeight="true" outlineLevel="0" collapsed="false">
      <c r="A21" s="8" t="s">
        <v>2205</v>
      </c>
      <c r="B21" s="8" t="s">
        <v>2193</v>
      </c>
      <c r="C21" s="8" t="s">
        <v>2206</v>
      </c>
      <c r="D21" s="8" t="s">
        <v>77</v>
      </c>
      <c r="E21" s="8" t="s">
        <v>1215</v>
      </c>
      <c r="F21" s="8" t="s">
        <v>179</v>
      </c>
      <c r="G21" s="54" t="s">
        <v>931</v>
      </c>
      <c r="H21" s="8" t="s">
        <v>2207</v>
      </c>
      <c r="I21" s="8" t="s">
        <v>2208</v>
      </c>
      <c r="J21" s="17" t="s">
        <v>2196</v>
      </c>
      <c r="K21" s="53" t="n">
        <v>0</v>
      </c>
      <c r="L21" s="8"/>
    </row>
    <row r="22" customFormat="false" ht="15" hidden="false" customHeight="true" outlineLevel="0" collapsed="false">
      <c r="A22" s="51" t="s">
        <v>2209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customFormat="false" ht="21.75" hidden="false" customHeight="true" outlineLevel="0" collapsed="false">
      <c r="A23" s="5" t="s">
        <v>2210</v>
      </c>
      <c r="B23" s="5" t="s">
        <v>2211</v>
      </c>
      <c r="C23" s="5" t="s">
        <v>2212</v>
      </c>
      <c r="D23" s="5" t="s">
        <v>77</v>
      </c>
      <c r="E23" s="5" t="s">
        <v>865</v>
      </c>
      <c r="F23" s="5" t="s">
        <v>787</v>
      </c>
      <c r="G23" s="54" t="s">
        <v>931</v>
      </c>
      <c r="H23" s="5" t="s">
        <v>2213</v>
      </c>
      <c r="I23" s="5" t="s">
        <v>2214</v>
      </c>
      <c r="J23" s="15" t="s">
        <v>2196</v>
      </c>
      <c r="K23" s="52" t="n">
        <v>0</v>
      </c>
      <c r="L23" s="5"/>
    </row>
    <row r="24" customFormat="false" ht="15" hidden="false" customHeight="true" outlineLevel="0" collapsed="false">
      <c r="A24" s="8" t="s">
        <v>2215</v>
      </c>
      <c r="B24" s="8" t="s">
        <v>2211</v>
      </c>
      <c r="C24" s="8" t="s">
        <v>2216</v>
      </c>
      <c r="D24" s="8" t="s">
        <v>77</v>
      </c>
      <c r="E24" s="8" t="s">
        <v>865</v>
      </c>
      <c r="F24" s="8" t="s">
        <v>697</v>
      </c>
      <c r="G24" s="54" t="s">
        <v>931</v>
      </c>
      <c r="H24" s="8" t="s">
        <v>2217</v>
      </c>
      <c r="I24" s="8" t="s">
        <v>2214</v>
      </c>
      <c r="J24" s="17" t="s">
        <v>2196</v>
      </c>
      <c r="K24" s="53" t="n">
        <v>0</v>
      </c>
      <c r="L24" s="8"/>
    </row>
    <row r="25" customFormat="false" ht="21.75" hidden="false" customHeight="true" outlineLevel="0" collapsed="false">
      <c r="A25" s="5" t="s">
        <v>2218</v>
      </c>
      <c r="B25" s="5" t="s">
        <v>2211</v>
      </c>
      <c r="C25" s="5" t="s">
        <v>2219</v>
      </c>
      <c r="D25" s="5" t="s">
        <v>77</v>
      </c>
      <c r="E25" s="5" t="s">
        <v>1171</v>
      </c>
      <c r="F25" s="5" t="s">
        <v>697</v>
      </c>
      <c r="G25" s="54" t="s">
        <v>931</v>
      </c>
      <c r="H25" s="5" t="s">
        <v>2220</v>
      </c>
      <c r="I25" s="5" t="s">
        <v>2221</v>
      </c>
      <c r="J25" s="15" t="s">
        <v>2196</v>
      </c>
      <c r="K25" s="52" t="n">
        <v>0</v>
      </c>
      <c r="L25" s="5"/>
    </row>
    <row r="26" customFormat="false" ht="15" hidden="false" customHeight="true" outlineLevel="0" collapsed="false">
      <c r="A26" s="8" t="s">
        <v>2222</v>
      </c>
      <c r="B26" s="8" t="s">
        <v>2211</v>
      </c>
      <c r="C26" s="8" t="s">
        <v>2223</v>
      </c>
      <c r="D26" s="8" t="s">
        <v>77</v>
      </c>
      <c r="E26" s="8" t="s">
        <v>1180</v>
      </c>
      <c r="F26" s="8" t="s">
        <v>718</v>
      </c>
      <c r="G26" s="54" t="s">
        <v>931</v>
      </c>
      <c r="H26" s="8" t="s">
        <v>2224</v>
      </c>
      <c r="I26" s="8" t="s">
        <v>2225</v>
      </c>
      <c r="J26" s="17" t="s">
        <v>2196</v>
      </c>
      <c r="K26" s="53" t="n">
        <v>0</v>
      </c>
      <c r="L26" s="8"/>
    </row>
    <row r="27" customFormat="false" ht="21.75" hidden="false" customHeight="true" outlineLevel="0" collapsed="false">
      <c r="A27" s="5" t="s">
        <v>2226</v>
      </c>
      <c r="B27" s="5" t="s">
        <v>2211</v>
      </c>
      <c r="C27" s="5" t="s">
        <v>2227</v>
      </c>
      <c r="D27" s="5" t="s">
        <v>77</v>
      </c>
      <c r="E27" s="5" t="s">
        <v>1180</v>
      </c>
      <c r="F27" s="5" t="s">
        <v>697</v>
      </c>
      <c r="G27" s="54" t="s">
        <v>931</v>
      </c>
      <c r="H27" s="5" t="s">
        <v>2228</v>
      </c>
      <c r="I27" s="5" t="s">
        <v>2229</v>
      </c>
      <c r="J27" s="15" t="s">
        <v>2196</v>
      </c>
      <c r="K27" s="52" t="n">
        <v>0</v>
      </c>
      <c r="L27" s="5"/>
    </row>
    <row r="28" customFormat="false" ht="15" hidden="false" customHeight="true" outlineLevel="0" collapsed="false">
      <c r="A28" s="51" t="s">
        <v>2230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customFormat="false" ht="21.75" hidden="false" customHeight="true" outlineLevel="0" collapsed="false">
      <c r="A29" s="5" t="s">
        <v>2231</v>
      </c>
      <c r="B29" s="5" t="s">
        <v>2232</v>
      </c>
      <c r="C29" s="5" t="s">
        <v>2233</v>
      </c>
      <c r="D29" s="5" t="s">
        <v>77</v>
      </c>
      <c r="E29" s="5" t="s">
        <v>1352</v>
      </c>
      <c r="F29" s="5" t="s">
        <v>718</v>
      </c>
      <c r="G29" s="54" t="s">
        <v>931</v>
      </c>
      <c r="H29" s="5" t="s">
        <v>2234</v>
      </c>
      <c r="I29" s="5" t="s">
        <v>2235</v>
      </c>
      <c r="J29" s="15" t="s">
        <v>2196</v>
      </c>
      <c r="K29" s="52" t="n">
        <v>0</v>
      </c>
      <c r="L29" s="5"/>
    </row>
    <row r="30" customFormat="false" ht="15" hidden="false" customHeight="true" outlineLevel="0" collapsed="false">
      <c r="A30" s="8" t="s">
        <v>2236</v>
      </c>
      <c r="B30" s="8" t="s">
        <v>2232</v>
      </c>
      <c r="C30" s="8" t="s">
        <v>2237</v>
      </c>
      <c r="D30" s="8" t="s">
        <v>77</v>
      </c>
      <c r="E30" s="8" t="s">
        <v>1329</v>
      </c>
      <c r="F30" s="8" t="s">
        <v>718</v>
      </c>
      <c r="G30" s="54" t="s">
        <v>931</v>
      </c>
      <c r="H30" s="8" t="s">
        <v>2238</v>
      </c>
      <c r="I30" s="8" t="s">
        <v>2239</v>
      </c>
      <c r="J30" s="17" t="s">
        <v>2196</v>
      </c>
      <c r="K30" s="53" t="n">
        <v>0</v>
      </c>
      <c r="L30" s="8"/>
    </row>
    <row r="31" customFormat="false" ht="21.75" hidden="false" customHeight="true" outlineLevel="0" collapsed="false">
      <c r="A31" s="5" t="s">
        <v>2240</v>
      </c>
      <c r="B31" s="5" t="s">
        <v>2232</v>
      </c>
      <c r="C31" s="5" t="s">
        <v>2241</v>
      </c>
      <c r="D31" s="5" t="s">
        <v>77</v>
      </c>
      <c r="E31" s="5" t="s">
        <v>1367</v>
      </c>
      <c r="F31" s="5" t="s">
        <v>718</v>
      </c>
      <c r="G31" s="54" t="s">
        <v>931</v>
      </c>
      <c r="H31" s="5" t="s">
        <v>2242</v>
      </c>
      <c r="I31" s="5" t="s">
        <v>2243</v>
      </c>
      <c r="J31" s="15" t="s">
        <v>2196</v>
      </c>
      <c r="K31" s="52" t="n">
        <v>0</v>
      </c>
      <c r="L31" s="5"/>
    </row>
  </sheetData>
  <mergeCells count="6">
    <mergeCell ref="A1:L1"/>
    <mergeCell ref="A4:L4"/>
    <mergeCell ref="A11:L11"/>
    <mergeCell ref="A17:L17"/>
    <mergeCell ref="A22:L22"/>
    <mergeCell ref="A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6E7A"/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2244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2245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21.75" hidden="false" customHeight="true" outlineLevel="0" collapsed="false">
      <c r="A5" s="5" t="s">
        <v>2246</v>
      </c>
      <c r="B5" s="5" t="s">
        <v>2247</v>
      </c>
      <c r="C5" s="5" t="s">
        <v>2248</v>
      </c>
      <c r="D5" s="5" t="s">
        <v>77</v>
      </c>
      <c r="E5" s="5" t="s">
        <v>865</v>
      </c>
      <c r="F5" s="5" t="s">
        <v>787</v>
      </c>
      <c r="G5" s="16" t="s">
        <v>84</v>
      </c>
      <c r="H5" s="5" t="s">
        <v>2249</v>
      </c>
      <c r="I5" s="5" t="s">
        <v>2250</v>
      </c>
      <c r="J5" s="15" t="s">
        <v>2251</v>
      </c>
      <c r="K5" s="52" t="n">
        <v>0</v>
      </c>
      <c r="L5" s="5" t="s">
        <v>2252</v>
      </c>
    </row>
    <row r="6" customFormat="false" ht="15" hidden="false" customHeight="true" outlineLevel="0" collapsed="false">
      <c r="A6" s="8" t="s">
        <v>2253</v>
      </c>
      <c r="B6" s="8" t="s">
        <v>2247</v>
      </c>
      <c r="C6" s="8" t="s">
        <v>2254</v>
      </c>
      <c r="D6" s="8" t="s">
        <v>77</v>
      </c>
      <c r="E6" s="8" t="s">
        <v>865</v>
      </c>
      <c r="F6" s="8" t="s">
        <v>697</v>
      </c>
      <c r="G6" s="16" t="s">
        <v>84</v>
      </c>
      <c r="H6" s="8" t="s">
        <v>2255</v>
      </c>
      <c r="I6" s="8" t="s">
        <v>2256</v>
      </c>
      <c r="J6" s="17" t="s">
        <v>2251</v>
      </c>
      <c r="K6" s="53" t="n">
        <v>0</v>
      </c>
      <c r="L6" s="8"/>
    </row>
    <row r="7" customFormat="false" ht="21.75" hidden="false" customHeight="true" outlineLevel="0" collapsed="false">
      <c r="A7" s="5" t="s">
        <v>2257</v>
      </c>
      <c r="B7" s="5" t="s">
        <v>2247</v>
      </c>
      <c r="C7" s="5" t="s">
        <v>2258</v>
      </c>
      <c r="D7" s="5" t="s">
        <v>77</v>
      </c>
      <c r="E7" s="5" t="s">
        <v>2259</v>
      </c>
      <c r="F7" s="5" t="s">
        <v>718</v>
      </c>
      <c r="G7" s="16" t="s">
        <v>84</v>
      </c>
      <c r="H7" s="5" t="s">
        <v>2260</v>
      </c>
      <c r="I7" s="5" t="s">
        <v>2261</v>
      </c>
      <c r="J7" s="15" t="s">
        <v>2251</v>
      </c>
      <c r="K7" s="52" t="n">
        <v>0</v>
      </c>
      <c r="L7" s="5"/>
    </row>
    <row r="8" customFormat="false" ht="21.75" hidden="false" customHeight="true" outlineLevel="0" collapsed="false">
      <c r="A8" s="8" t="s">
        <v>2262</v>
      </c>
      <c r="B8" s="8" t="s">
        <v>2247</v>
      </c>
      <c r="C8" s="8" t="s">
        <v>2263</v>
      </c>
      <c r="D8" s="8" t="s">
        <v>77</v>
      </c>
      <c r="E8" s="8" t="s">
        <v>842</v>
      </c>
      <c r="F8" s="8" t="s">
        <v>718</v>
      </c>
      <c r="G8" s="16" t="s">
        <v>84</v>
      </c>
      <c r="H8" s="8" t="s">
        <v>2264</v>
      </c>
      <c r="I8" s="8" t="s">
        <v>2265</v>
      </c>
      <c r="J8" s="17" t="s">
        <v>2251</v>
      </c>
      <c r="K8" s="53" t="n">
        <v>0</v>
      </c>
      <c r="L8" s="8" t="s">
        <v>2266</v>
      </c>
    </row>
    <row r="9" customFormat="false" ht="21.75" hidden="false" customHeight="true" outlineLevel="0" collapsed="false">
      <c r="A9" s="5" t="s">
        <v>2267</v>
      </c>
      <c r="B9" s="5" t="s">
        <v>2247</v>
      </c>
      <c r="C9" s="5" t="s">
        <v>2268</v>
      </c>
      <c r="D9" s="5" t="s">
        <v>77</v>
      </c>
      <c r="E9" s="5" t="s">
        <v>1215</v>
      </c>
      <c r="F9" s="5" t="s">
        <v>718</v>
      </c>
      <c r="G9" s="16" t="s">
        <v>84</v>
      </c>
      <c r="H9" s="5" t="s">
        <v>2269</v>
      </c>
      <c r="I9" s="5" t="s">
        <v>1466</v>
      </c>
      <c r="J9" s="15" t="s">
        <v>2251</v>
      </c>
      <c r="K9" s="52" t="n">
        <v>0</v>
      </c>
      <c r="L9" s="5"/>
    </row>
    <row r="10" customFormat="false" ht="15" hidden="false" customHeight="true" outlineLevel="0" collapsed="false">
      <c r="A10" s="51" t="s">
        <v>2270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</row>
    <row r="11" customFormat="false" ht="15" hidden="false" customHeight="true" outlineLevel="0" collapsed="false">
      <c r="A11" s="5" t="s">
        <v>2271</v>
      </c>
      <c r="B11" s="5" t="s">
        <v>2272</v>
      </c>
      <c r="C11" s="5" t="s">
        <v>2273</v>
      </c>
      <c r="D11" s="5" t="s">
        <v>77</v>
      </c>
      <c r="E11" s="5" t="s">
        <v>2259</v>
      </c>
      <c r="F11" s="5" t="s">
        <v>697</v>
      </c>
      <c r="G11" s="16" t="s">
        <v>84</v>
      </c>
      <c r="H11" s="5" t="s">
        <v>2274</v>
      </c>
      <c r="I11" s="5" t="s">
        <v>2275</v>
      </c>
      <c r="J11" s="15" t="s">
        <v>2251</v>
      </c>
      <c r="K11" s="52" t="n">
        <v>0</v>
      </c>
      <c r="L11" s="5" t="s">
        <v>2276</v>
      </c>
    </row>
    <row r="12" customFormat="false" ht="15" hidden="false" customHeight="true" outlineLevel="0" collapsed="false">
      <c r="A12" s="8" t="s">
        <v>2277</v>
      </c>
      <c r="B12" s="8" t="s">
        <v>2272</v>
      </c>
      <c r="C12" s="8" t="s">
        <v>2278</v>
      </c>
      <c r="D12" s="8" t="s">
        <v>77</v>
      </c>
      <c r="E12" s="8" t="s">
        <v>2259</v>
      </c>
      <c r="F12" s="8" t="s">
        <v>697</v>
      </c>
      <c r="G12" s="16" t="s">
        <v>84</v>
      </c>
      <c r="H12" s="8" t="s">
        <v>2279</v>
      </c>
      <c r="I12" s="8" t="s">
        <v>2275</v>
      </c>
      <c r="J12" s="17" t="s">
        <v>2251</v>
      </c>
      <c r="K12" s="53" t="n">
        <v>0</v>
      </c>
      <c r="L12" s="8"/>
    </row>
    <row r="13" customFormat="false" ht="21.75" hidden="false" customHeight="true" outlineLevel="0" collapsed="false">
      <c r="A13" s="5" t="s">
        <v>2280</v>
      </c>
      <c r="B13" s="5" t="s">
        <v>2272</v>
      </c>
      <c r="C13" s="5" t="s">
        <v>2281</v>
      </c>
      <c r="D13" s="5" t="s">
        <v>77</v>
      </c>
      <c r="E13" s="5" t="s">
        <v>1215</v>
      </c>
      <c r="F13" s="5" t="s">
        <v>718</v>
      </c>
      <c r="G13" s="16" t="s">
        <v>84</v>
      </c>
      <c r="H13" s="5" t="s">
        <v>2282</v>
      </c>
      <c r="I13" s="5" t="s">
        <v>1684</v>
      </c>
      <c r="J13" s="15" t="s">
        <v>2251</v>
      </c>
      <c r="K13" s="52" t="n">
        <v>0</v>
      </c>
      <c r="L13" s="5"/>
    </row>
    <row r="14" customFormat="false" ht="15" hidden="false" customHeight="true" outlineLevel="0" collapsed="false">
      <c r="A14" s="8" t="s">
        <v>2283</v>
      </c>
      <c r="B14" s="8" t="s">
        <v>2272</v>
      </c>
      <c r="C14" s="8" t="s">
        <v>2284</v>
      </c>
      <c r="D14" s="8" t="s">
        <v>77</v>
      </c>
      <c r="E14" s="8" t="s">
        <v>1352</v>
      </c>
      <c r="F14" s="8" t="s">
        <v>718</v>
      </c>
      <c r="G14" s="16" t="s">
        <v>84</v>
      </c>
      <c r="H14" s="8" t="s">
        <v>2285</v>
      </c>
      <c r="I14" s="8" t="s">
        <v>2286</v>
      </c>
      <c r="J14" s="17" t="s">
        <v>2251</v>
      </c>
      <c r="K14" s="53" t="n">
        <v>0</v>
      </c>
      <c r="L14" s="8"/>
    </row>
    <row r="15" customFormat="false" ht="15" hidden="false" customHeight="true" outlineLevel="0" collapsed="false">
      <c r="A15" s="51" t="s">
        <v>2287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</row>
    <row r="16" customFormat="false" ht="21.75" hidden="false" customHeight="true" outlineLevel="0" collapsed="false">
      <c r="A16" s="5" t="s">
        <v>2288</v>
      </c>
      <c r="B16" s="5" t="s">
        <v>2289</v>
      </c>
      <c r="C16" s="5" t="s">
        <v>2290</v>
      </c>
      <c r="D16" s="5" t="s">
        <v>77</v>
      </c>
      <c r="E16" s="5" t="s">
        <v>865</v>
      </c>
      <c r="F16" s="5" t="s">
        <v>697</v>
      </c>
      <c r="G16" s="16" t="s">
        <v>84</v>
      </c>
      <c r="H16" s="5" t="s">
        <v>2291</v>
      </c>
      <c r="I16" s="5" t="s">
        <v>2292</v>
      </c>
      <c r="J16" s="15" t="s">
        <v>2251</v>
      </c>
      <c r="K16" s="52" t="n">
        <v>0</v>
      </c>
      <c r="L16" s="5"/>
    </row>
    <row r="17" customFormat="false" ht="21.75" hidden="false" customHeight="true" outlineLevel="0" collapsed="false">
      <c r="A17" s="8" t="s">
        <v>2293</v>
      </c>
      <c r="B17" s="8" t="s">
        <v>2289</v>
      </c>
      <c r="C17" s="8" t="s">
        <v>2294</v>
      </c>
      <c r="D17" s="8" t="s">
        <v>77</v>
      </c>
      <c r="E17" s="8" t="s">
        <v>865</v>
      </c>
      <c r="F17" s="8" t="s">
        <v>697</v>
      </c>
      <c r="G17" s="16" t="s">
        <v>84</v>
      </c>
      <c r="H17" s="8" t="s">
        <v>2295</v>
      </c>
      <c r="I17" s="8" t="s">
        <v>2296</v>
      </c>
      <c r="J17" s="17" t="s">
        <v>2251</v>
      </c>
      <c r="K17" s="53" t="n">
        <v>0</v>
      </c>
      <c r="L17" s="8"/>
    </row>
    <row r="18" customFormat="false" ht="15" hidden="false" customHeight="true" outlineLevel="0" collapsed="false">
      <c r="A18" s="5" t="s">
        <v>2297</v>
      </c>
      <c r="B18" s="5" t="s">
        <v>2289</v>
      </c>
      <c r="C18" s="5" t="s">
        <v>2298</v>
      </c>
      <c r="D18" s="5" t="s">
        <v>77</v>
      </c>
      <c r="E18" s="5" t="s">
        <v>1180</v>
      </c>
      <c r="F18" s="5" t="s">
        <v>718</v>
      </c>
      <c r="G18" s="16" t="s">
        <v>84</v>
      </c>
      <c r="H18" s="5" t="s">
        <v>2299</v>
      </c>
      <c r="I18" s="5" t="s">
        <v>2300</v>
      </c>
      <c r="J18" s="15" t="s">
        <v>2251</v>
      </c>
      <c r="K18" s="52" t="n">
        <v>0</v>
      </c>
      <c r="L18" s="5"/>
    </row>
    <row r="19" customFormat="false" ht="21.75" hidden="false" customHeight="true" outlineLevel="0" collapsed="false">
      <c r="A19" s="8" t="s">
        <v>2301</v>
      </c>
      <c r="B19" s="8" t="s">
        <v>2289</v>
      </c>
      <c r="C19" s="8" t="s">
        <v>2302</v>
      </c>
      <c r="D19" s="8" t="s">
        <v>77</v>
      </c>
      <c r="E19" s="8" t="s">
        <v>1180</v>
      </c>
      <c r="F19" s="8" t="s">
        <v>718</v>
      </c>
      <c r="G19" s="16" t="s">
        <v>84</v>
      </c>
      <c r="H19" s="8" t="s">
        <v>2303</v>
      </c>
      <c r="I19" s="8" t="s">
        <v>2304</v>
      </c>
      <c r="J19" s="17" t="s">
        <v>2251</v>
      </c>
      <c r="K19" s="53" t="n">
        <v>0</v>
      </c>
      <c r="L19" s="8"/>
    </row>
    <row r="20" customFormat="false" ht="21.75" hidden="false" customHeight="true" outlineLevel="0" collapsed="false">
      <c r="A20" s="5" t="s">
        <v>2305</v>
      </c>
      <c r="B20" s="5" t="s">
        <v>2289</v>
      </c>
      <c r="C20" s="5" t="s">
        <v>2306</v>
      </c>
      <c r="D20" s="5" t="s">
        <v>77</v>
      </c>
      <c r="E20" s="5" t="s">
        <v>1215</v>
      </c>
      <c r="F20" s="5" t="s">
        <v>718</v>
      </c>
      <c r="G20" s="16" t="s">
        <v>84</v>
      </c>
      <c r="H20" s="5" t="s">
        <v>2307</v>
      </c>
      <c r="I20" s="5" t="s">
        <v>2308</v>
      </c>
      <c r="J20" s="15" t="s">
        <v>2251</v>
      </c>
      <c r="K20" s="52" t="n">
        <v>0</v>
      </c>
      <c r="L20" s="5"/>
    </row>
    <row r="21" customFormat="false" ht="15" hidden="false" customHeight="true" outlineLevel="0" collapsed="false">
      <c r="A21" s="51" t="s">
        <v>2309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customFormat="false" ht="21.75" hidden="false" customHeight="true" outlineLevel="0" collapsed="false">
      <c r="A22" s="5" t="s">
        <v>2310</v>
      </c>
      <c r="B22" s="5" t="s">
        <v>2311</v>
      </c>
      <c r="C22" s="5" t="s">
        <v>2312</v>
      </c>
      <c r="D22" s="5" t="s">
        <v>77</v>
      </c>
      <c r="E22" s="5" t="s">
        <v>865</v>
      </c>
      <c r="F22" s="5" t="s">
        <v>697</v>
      </c>
      <c r="G22" s="16" t="s">
        <v>84</v>
      </c>
      <c r="H22" s="5" t="s">
        <v>2313</v>
      </c>
      <c r="I22" s="5" t="s">
        <v>2314</v>
      </c>
      <c r="J22" s="15" t="s">
        <v>2251</v>
      </c>
      <c r="K22" s="52" t="n">
        <v>0</v>
      </c>
      <c r="L22" s="5"/>
    </row>
    <row r="23" customFormat="false" ht="21.75" hidden="false" customHeight="true" outlineLevel="0" collapsed="false">
      <c r="A23" s="8" t="s">
        <v>2315</v>
      </c>
      <c r="B23" s="8" t="s">
        <v>2311</v>
      </c>
      <c r="C23" s="8" t="s">
        <v>2316</v>
      </c>
      <c r="D23" s="8" t="s">
        <v>77</v>
      </c>
      <c r="E23" s="8" t="s">
        <v>1180</v>
      </c>
      <c r="F23" s="8" t="s">
        <v>718</v>
      </c>
      <c r="G23" s="16" t="s">
        <v>84</v>
      </c>
      <c r="H23" s="8" t="s">
        <v>2317</v>
      </c>
      <c r="I23" s="8" t="s">
        <v>2318</v>
      </c>
      <c r="J23" s="17" t="s">
        <v>2251</v>
      </c>
      <c r="K23" s="53" t="n">
        <v>0</v>
      </c>
      <c r="L23" s="8"/>
    </row>
    <row r="24" customFormat="false" ht="21.75" hidden="false" customHeight="true" outlineLevel="0" collapsed="false">
      <c r="A24" s="5" t="s">
        <v>2319</v>
      </c>
      <c r="B24" s="5" t="s">
        <v>2311</v>
      </c>
      <c r="C24" s="5" t="s">
        <v>2320</v>
      </c>
      <c r="D24" s="5" t="s">
        <v>77</v>
      </c>
      <c r="E24" s="5" t="s">
        <v>865</v>
      </c>
      <c r="F24" s="5" t="s">
        <v>718</v>
      </c>
      <c r="G24" s="16" t="s">
        <v>84</v>
      </c>
      <c r="H24" s="5" t="s">
        <v>2321</v>
      </c>
      <c r="I24" s="5" t="s">
        <v>2322</v>
      </c>
      <c r="J24" s="15" t="s">
        <v>2251</v>
      </c>
      <c r="K24" s="52" t="n">
        <v>0</v>
      </c>
      <c r="L24" s="5"/>
    </row>
    <row r="25" customFormat="false" ht="21.75" hidden="false" customHeight="true" outlineLevel="0" collapsed="false">
      <c r="A25" s="8" t="s">
        <v>2323</v>
      </c>
      <c r="B25" s="8" t="s">
        <v>2311</v>
      </c>
      <c r="C25" s="8" t="s">
        <v>2324</v>
      </c>
      <c r="D25" s="8" t="s">
        <v>77</v>
      </c>
      <c r="E25" s="8" t="s">
        <v>1367</v>
      </c>
      <c r="F25" s="8" t="s">
        <v>718</v>
      </c>
      <c r="G25" s="16" t="s">
        <v>84</v>
      </c>
      <c r="H25" s="8" t="s">
        <v>2325</v>
      </c>
      <c r="I25" s="8" t="s">
        <v>2326</v>
      </c>
      <c r="J25" s="17" t="s">
        <v>2251</v>
      </c>
      <c r="K25" s="53" t="n">
        <v>0</v>
      </c>
      <c r="L25" s="8"/>
    </row>
    <row r="26" customFormat="false" ht="15" hidden="false" customHeight="true" outlineLevel="0" collapsed="false">
      <c r="A26" s="51" t="s">
        <v>2327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customFormat="false" ht="15" hidden="false" customHeight="true" outlineLevel="0" collapsed="false">
      <c r="A27" s="5" t="s">
        <v>2328</v>
      </c>
      <c r="B27" s="5" t="s">
        <v>2329</v>
      </c>
      <c r="C27" s="5" t="s">
        <v>2330</v>
      </c>
      <c r="D27" s="5" t="s">
        <v>77</v>
      </c>
      <c r="E27" s="5" t="s">
        <v>852</v>
      </c>
      <c r="F27" s="5" t="s">
        <v>697</v>
      </c>
      <c r="G27" s="16" t="s">
        <v>84</v>
      </c>
      <c r="H27" s="5" t="s">
        <v>2331</v>
      </c>
      <c r="I27" s="5" t="s">
        <v>2332</v>
      </c>
      <c r="J27" s="15" t="s">
        <v>2251</v>
      </c>
      <c r="K27" s="52" t="n">
        <v>0</v>
      </c>
      <c r="L27" s="5"/>
    </row>
    <row r="28" customFormat="false" ht="15" hidden="false" customHeight="true" outlineLevel="0" collapsed="false">
      <c r="A28" s="8" t="s">
        <v>2333</v>
      </c>
      <c r="B28" s="8" t="s">
        <v>2329</v>
      </c>
      <c r="C28" s="8" t="s">
        <v>2334</v>
      </c>
      <c r="D28" s="8" t="s">
        <v>77</v>
      </c>
      <c r="E28" s="8" t="s">
        <v>881</v>
      </c>
      <c r="F28" s="8" t="s">
        <v>697</v>
      </c>
      <c r="G28" s="16" t="s">
        <v>84</v>
      </c>
      <c r="H28" s="8" t="s">
        <v>2335</v>
      </c>
      <c r="I28" s="8" t="s">
        <v>2336</v>
      </c>
      <c r="J28" s="17" t="s">
        <v>2251</v>
      </c>
      <c r="K28" s="53" t="n">
        <v>0</v>
      </c>
      <c r="L28" s="8"/>
    </row>
    <row r="29" customFormat="false" ht="21.75" hidden="false" customHeight="true" outlineLevel="0" collapsed="false">
      <c r="A29" s="5" t="s">
        <v>2337</v>
      </c>
      <c r="B29" s="5" t="s">
        <v>2329</v>
      </c>
      <c r="C29" s="5" t="s">
        <v>2338</v>
      </c>
      <c r="D29" s="5" t="s">
        <v>77</v>
      </c>
      <c r="E29" s="5" t="s">
        <v>2259</v>
      </c>
      <c r="F29" s="5" t="s">
        <v>718</v>
      </c>
      <c r="G29" s="16" t="s">
        <v>84</v>
      </c>
      <c r="H29" s="5" t="s">
        <v>2339</v>
      </c>
      <c r="I29" s="5" t="s">
        <v>2340</v>
      </c>
      <c r="J29" s="15" t="s">
        <v>2251</v>
      </c>
      <c r="K29" s="52" t="n">
        <v>0</v>
      </c>
      <c r="L29" s="5"/>
    </row>
    <row r="30" customFormat="false" ht="21.75" hidden="false" customHeight="true" outlineLevel="0" collapsed="false">
      <c r="A30" s="8" t="s">
        <v>2341</v>
      </c>
      <c r="B30" s="8" t="s">
        <v>2329</v>
      </c>
      <c r="C30" s="8" t="s">
        <v>2342</v>
      </c>
      <c r="D30" s="8" t="s">
        <v>77</v>
      </c>
      <c r="E30" s="8" t="s">
        <v>1180</v>
      </c>
      <c r="F30" s="8" t="s">
        <v>718</v>
      </c>
      <c r="G30" s="16" t="s">
        <v>84</v>
      </c>
      <c r="H30" s="8" t="s">
        <v>2343</v>
      </c>
      <c r="I30" s="8" t="s">
        <v>2344</v>
      </c>
      <c r="J30" s="17" t="s">
        <v>2251</v>
      </c>
      <c r="K30" s="53" t="n">
        <v>0</v>
      </c>
      <c r="L30" s="8"/>
    </row>
    <row r="31" customFormat="false" ht="15" hidden="false" customHeight="true" outlineLevel="0" collapsed="false">
      <c r="A31" s="5" t="s">
        <v>2345</v>
      </c>
      <c r="B31" s="5" t="s">
        <v>2329</v>
      </c>
      <c r="C31" s="5" t="s">
        <v>2346</v>
      </c>
      <c r="D31" s="5" t="s">
        <v>77</v>
      </c>
      <c r="E31" s="5" t="s">
        <v>2140</v>
      </c>
      <c r="F31" s="5" t="s">
        <v>718</v>
      </c>
      <c r="G31" s="16" t="s">
        <v>84</v>
      </c>
      <c r="H31" s="5" t="s">
        <v>2347</v>
      </c>
      <c r="I31" s="5" t="s">
        <v>2348</v>
      </c>
      <c r="J31" s="15" t="s">
        <v>2251</v>
      </c>
      <c r="K31" s="52" t="n">
        <v>0</v>
      </c>
      <c r="L31" s="5"/>
    </row>
  </sheetData>
  <mergeCells count="6">
    <mergeCell ref="A1:L1"/>
    <mergeCell ref="A4:L4"/>
    <mergeCell ref="A10:L10"/>
    <mergeCell ref="A15:L15"/>
    <mergeCell ref="A21:L21"/>
    <mergeCell ref="A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C34A"/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8"/>
  </cols>
  <sheetData>
    <row r="1" customFormat="false" ht="17.25" hidden="false" customHeight="true" outlineLevel="0" collapsed="false">
      <c r="A1" s="49" t="s">
        <v>2349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3" customFormat="false" ht="15" hidden="false" customHeight="true" outlineLevel="0" collapsed="false">
      <c r="A3" s="4" t="s">
        <v>683</v>
      </c>
      <c r="B3" s="4" t="s">
        <v>79</v>
      </c>
      <c r="C3" s="4" t="s">
        <v>684</v>
      </c>
      <c r="D3" s="4" t="s">
        <v>72</v>
      </c>
      <c r="E3" s="4" t="s">
        <v>685</v>
      </c>
      <c r="F3" s="4" t="s">
        <v>686</v>
      </c>
      <c r="G3" s="4" t="s">
        <v>9</v>
      </c>
      <c r="H3" s="4" t="s">
        <v>687</v>
      </c>
      <c r="I3" s="4" t="s">
        <v>688</v>
      </c>
      <c r="J3" s="50" t="s">
        <v>689</v>
      </c>
      <c r="K3" s="4" t="s">
        <v>690</v>
      </c>
      <c r="L3" s="4" t="s">
        <v>691</v>
      </c>
    </row>
    <row r="4" customFormat="false" ht="15" hidden="false" customHeight="true" outlineLevel="0" collapsed="false">
      <c r="A4" s="51" t="s">
        <v>2350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customFormat="false" ht="15" hidden="false" customHeight="true" outlineLevel="0" collapsed="false">
      <c r="A5" s="5" t="s">
        <v>2351</v>
      </c>
      <c r="B5" s="5" t="s">
        <v>2352</v>
      </c>
      <c r="C5" s="5" t="s">
        <v>2353</v>
      </c>
      <c r="D5" s="5" t="s">
        <v>77</v>
      </c>
      <c r="E5" s="5" t="s">
        <v>1329</v>
      </c>
      <c r="F5" s="5" t="s">
        <v>697</v>
      </c>
      <c r="G5" s="16" t="s">
        <v>84</v>
      </c>
      <c r="H5" s="5" t="s">
        <v>2354</v>
      </c>
      <c r="I5" s="5" t="s">
        <v>2355</v>
      </c>
      <c r="J5" s="15" t="s">
        <v>2356</v>
      </c>
      <c r="K5" s="52" t="n">
        <v>0</v>
      </c>
      <c r="L5" s="5"/>
    </row>
    <row r="6" customFormat="false" ht="21.75" hidden="false" customHeight="true" outlineLevel="0" collapsed="false">
      <c r="A6" s="8" t="s">
        <v>2357</v>
      </c>
      <c r="B6" s="8" t="s">
        <v>2352</v>
      </c>
      <c r="C6" s="8" t="s">
        <v>2358</v>
      </c>
      <c r="D6" s="8" t="s">
        <v>77</v>
      </c>
      <c r="E6" s="8" t="s">
        <v>1256</v>
      </c>
      <c r="F6" s="8" t="s">
        <v>697</v>
      </c>
      <c r="G6" s="16" t="s">
        <v>84</v>
      </c>
      <c r="H6" s="8" t="s">
        <v>2359</v>
      </c>
      <c r="I6" s="8" t="s">
        <v>2360</v>
      </c>
      <c r="J6" s="17" t="s">
        <v>2356</v>
      </c>
      <c r="K6" s="53" t="n">
        <v>0</v>
      </c>
      <c r="L6" s="8"/>
    </row>
    <row r="7" customFormat="false" ht="15" hidden="false" customHeight="true" outlineLevel="0" collapsed="false">
      <c r="A7" s="5" t="s">
        <v>2361</v>
      </c>
      <c r="B7" s="5" t="s">
        <v>2352</v>
      </c>
      <c r="C7" s="5" t="s">
        <v>2362</v>
      </c>
      <c r="D7" s="5" t="s">
        <v>77</v>
      </c>
      <c r="E7" s="5" t="s">
        <v>1256</v>
      </c>
      <c r="F7" s="5" t="s">
        <v>697</v>
      </c>
      <c r="G7" s="16" t="s">
        <v>84</v>
      </c>
      <c r="H7" s="5" t="s">
        <v>1118</v>
      </c>
      <c r="I7" s="5" t="s">
        <v>2363</v>
      </c>
      <c r="J7" s="15" t="s">
        <v>2356</v>
      </c>
      <c r="K7" s="52" t="n">
        <v>0</v>
      </c>
      <c r="L7" s="5"/>
    </row>
    <row r="8" customFormat="false" ht="21.75" hidden="false" customHeight="true" outlineLevel="0" collapsed="false">
      <c r="A8" s="8" t="s">
        <v>2364</v>
      </c>
      <c r="B8" s="8" t="s">
        <v>2352</v>
      </c>
      <c r="C8" s="8" t="s">
        <v>2365</v>
      </c>
      <c r="D8" s="8" t="s">
        <v>77</v>
      </c>
      <c r="E8" s="8" t="s">
        <v>1283</v>
      </c>
      <c r="F8" s="8" t="s">
        <v>718</v>
      </c>
      <c r="G8" s="16" t="s">
        <v>84</v>
      </c>
      <c r="H8" s="8" t="s">
        <v>2366</v>
      </c>
      <c r="I8" s="8" t="s">
        <v>2367</v>
      </c>
      <c r="J8" s="17" t="s">
        <v>2356</v>
      </c>
      <c r="K8" s="53" t="n">
        <v>0</v>
      </c>
      <c r="L8" s="8"/>
    </row>
    <row r="9" customFormat="false" ht="15" hidden="false" customHeight="true" outlineLevel="0" collapsed="false">
      <c r="A9" s="5" t="s">
        <v>2368</v>
      </c>
      <c r="B9" s="5" t="s">
        <v>2352</v>
      </c>
      <c r="C9" s="5" t="s">
        <v>2369</v>
      </c>
      <c r="D9" s="5" t="s">
        <v>77</v>
      </c>
      <c r="E9" s="5" t="s">
        <v>1429</v>
      </c>
      <c r="F9" s="5" t="s">
        <v>718</v>
      </c>
      <c r="G9" s="16" t="s">
        <v>84</v>
      </c>
      <c r="H9" s="5" t="s">
        <v>2370</v>
      </c>
      <c r="I9" s="5" t="s">
        <v>2371</v>
      </c>
      <c r="J9" s="15" t="s">
        <v>2356</v>
      </c>
      <c r="K9" s="52" t="n">
        <v>0</v>
      </c>
      <c r="L9" s="5"/>
    </row>
    <row r="10" customFormat="false" ht="15" hidden="false" customHeight="true" outlineLevel="0" collapsed="false">
      <c r="A10" s="51" t="s">
        <v>2372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</row>
    <row r="11" customFormat="false" ht="15" hidden="false" customHeight="true" outlineLevel="0" collapsed="false">
      <c r="A11" s="5" t="s">
        <v>2373</v>
      </c>
      <c r="B11" s="5" t="s">
        <v>2374</v>
      </c>
      <c r="C11" s="5" t="s">
        <v>2375</v>
      </c>
      <c r="D11" s="5" t="s">
        <v>77</v>
      </c>
      <c r="E11" s="5" t="s">
        <v>1381</v>
      </c>
      <c r="F11" s="5" t="s">
        <v>697</v>
      </c>
      <c r="G11" s="16" t="s">
        <v>84</v>
      </c>
      <c r="H11" s="5" t="s">
        <v>2376</v>
      </c>
      <c r="I11" s="5" t="s">
        <v>2377</v>
      </c>
      <c r="J11" s="15" t="s">
        <v>2356</v>
      </c>
      <c r="K11" s="52" t="n">
        <v>0</v>
      </c>
      <c r="L11" s="5"/>
    </row>
    <row r="12" customFormat="false" ht="21.75" hidden="false" customHeight="true" outlineLevel="0" collapsed="false">
      <c r="A12" s="8" t="s">
        <v>2378</v>
      </c>
      <c r="B12" s="8" t="s">
        <v>2374</v>
      </c>
      <c r="C12" s="8" t="s">
        <v>2379</v>
      </c>
      <c r="D12" s="8" t="s">
        <v>77</v>
      </c>
      <c r="E12" s="8" t="s">
        <v>1395</v>
      </c>
      <c r="F12" s="8" t="s">
        <v>697</v>
      </c>
      <c r="G12" s="16" t="s">
        <v>84</v>
      </c>
      <c r="H12" s="8" t="s">
        <v>2380</v>
      </c>
      <c r="I12" s="8" t="s">
        <v>2381</v>
      </c>
      <c r="J12" s="17" t="s">
        <v>2356</v>
      </c>
      <c r="K12" s="53" t="n">
        <v>0</v>
      </c>
      <c r="L12" s="8"/>
    </row>
    <row r="13" customFormat="false" ht="15" hidden="false" customHeight="true" outlineLevel="0" collapsed="false">
      <c r="A13" s="5" t="s">
        <v>2382</v>
      </c>
      <c r="B13" s="5" t="s">
        <v>2374</v>
      </c>
      <c r="C13" s="5" t="s">
        <v>2383</v>
      </c>
      <c r="D13" s="5" t="s">
        <v>77</v>
      </c>
      <c r="E13" s="5" t="s">
        <v>1305</v>
      </c>
      <c r="F13" s="5" t="s">
        <v>697</v>
      </c>
      <c r="G13" s="16" t="s">
        <v>84</v>
      </c>
      <c r="H13" s="5" t="s">
        <v>2384</v>
      </c>
      <c r="I13" s="5" t="s">
        <v>2385</v>
      </c>
      <c r="J13" s="15" t="s">
        <v>2356</v>
      </c>
      <c r="K13" s="52" t="n">
        <v>0</v>
      </c>
      <c r="L13" s="5"/>
    </row>
    <row r="14" customFormat="false" ht="15" hidden="false" customHeight="true" outlineLevel="0" collapsed="false">
      <c r="A14" s="8" t="s">
        <v>2386</v>
      </c>
      <c r="B14" s="8" t="s">
        <v>2374</v>
      </c>
      <c r="C14" s="8" t="s">
        <v>2387</v>
      </c>
      <c r="D14" s="8" t="s">
        <v>77</v>
      </c>
      <c r="E14" s="8" t="s">
        <v>1723</v>
      </c>
      <c r="F14" s="8" t="s">
        <v>718</v>
      </c>
      <c r="G14" s="16" t="s">
        <v>84</v>
      </c>
      <c r="H14" s="8" t="s">
        <v>2388</v>
      </c>
      <c r="I14" s="8" t="s">
        <v>2389</v>
      </c>
      <c r="J14" s="17" t="s">
        <v>2356</v>
      </c>
      <c r="K14" s="53" t="n">
        <v>0</v>
      </c>
      <c r="L14" s="8"/>
    </row>
    <row r="15" customFormat="false" ht="21.75" hidden="false" customHeight="true" outlineLevel="0" collapsed="false">
      <c r="A15" s="5" t="s">
        <v>2390</v>
      </c>
      <c r="B15" s="5" t="s">
        <v>2374</v>
      </c>
      <c r="C15" s="5" t="s">
        <v>2391</v>
      </c>
      <c r="D15" s="5" t="s">
        <v>77</v>
      </c>
      <c r="E15" s="5" t="s">
        <v>1772</v>
      </c>
      <c r="F15" s="5" t="s">
        <v>718</v>
      </c>
      <c r="G15" s="16" t="s">
        <v>84</v>
      </c>
      <c r="H15" s="5" t="s">
        <v>2392</v>
      </c>
      <c r="I15" s="5" t="s">
        <v>2393</v>
      </c>
      <c r="J15" s="15" t="s">
        <v>2356</v>
      </c>
      <c r="K15" s="52" t="n">
        <v>0</v>
      </c>
      <c r="L15" s="5"/>
    </row>
    <row r="16" customFormat="false" ht="15" hidden="false" customHeight="true" outlineLevel="0" collapsed="false">
      <c r="A16" s="51" t="s">
        <v>2394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</row>
    <row r="17" customFormat="false" ht="21.75" hidden="false" customHeight="true" outlineLevel="0" collapsed="false">
      <c r="A17" s="5" t="s">
        <v>2395</v>
      </c>
      <c r="B17" s="5" t="s">
        <v>2396</v>
      </c>
      <c r="C17" s="5" t="s">
        <v>2397</v>
      </c>
      <c r="D17" s="5" t="s">
        <v>77</v>
      </c>
      <c r="E17" s="5" t="s">
        <v>1423</v>
      </c>
      <c r="F17" s="5" t="s">
        <v>718</v>
      </c>
      <c r="G17" s="16" t="s">
        <v>84</v>
      </c>
      <c r="H17" s="5" t="s">
        <v>2398</v>
      </c>
      <c r="I17" s="5" t="s">
        <v>2399</v>
      </c>
      <c r="J17" s="15" t="s">
        <v>2356</v>
      </c>
      <c r="K17" s="52" t="n">
        <v>0</v>
      </c>
      <c r="L17" s="5"/>
    </row>
    <row r="18" customFormat="false" ht="15" hidden="false" customHeight="true" outlineLevel="0" collapsed="false">
      <c r="A18" s="8" t="s">
        <v>2400</v>
      </c>
      <c r="B18" s="8" t="s">
        <v>2396</v>
      </c>
      <c r="C18" s="8" t="s">
        <v>2401</v>
      </c>
      <c r="D18" s="8" t="s">
        <v>77</v>
      </c>
      <c r="E18" s="8" t="s">
        <v>1423</v>
      </c>
      <c r="F18" s="8" t="s">
        <v>718</v>
      </c>
      <c r="G18" s="16" t="s">
        <v>84</v>
      </c>
      <c r="H18" s="8" t="s">
        <v>2402</v>
      </c>
      <c r="I18" s="8" t="s">
        <v>2403</v>
      </c>
      <c r="J18" s="17" t="s">
        <v>2356</v>
      </c>
      <c r="K18" s="53" t="n">
        <v>0</v>
      </c>
      <c r="L18" s="8"/>
    </row>
    <row r="19" customFormat="false" ht="21.75" hidden="false" customHeight="true" outlineLevel="0" collapsed="false">
      <c r="A19" s="5" t="s">
        <v>2404</v>
      </c>
      <c r="B19" s="5" t="s">
        <v>2396</v>
      </c>
      <c r="C19" s="5" t="s">
        <v>2405</v>
      </c>
      <c r="D19" s="5" t="s">
        <v>77</v>
      </c>
      <c r="E19" s="5" t="s">
        <v>1305</v>
      </c>
      <c r="F19" s="5" t="s">
        <v>718</v>
      </c>
      <c r="G19" s="16" t="s">
        <v>84</v>
      </c>
      <c r="H19" s="5" t="s">
        <v>2406</v>
      </c>
      <c r="I19" s="5" t="s">
        <v>2407</v>
      </c>
      <c r="J19" s="15" t="s">
        <v>2356</v>
      </c>
      <c r="K19" s="52" t="n">
        <v>0</v>
      </c>
      <c r="L19" s="5"/>
    </row>
    <row r="20" customFormat="false" ht="21.75" hidden="false" customHeight="true" outlineLevel="0" collapsed="false">
      <c r="A20" s="8" t="s">
        <v>2408</v>
      </c>
      <c r="B20" s="8" t="s">
        <v>2396</v>
      </c>
      <c r="C20" s="8" t="s">
        <v>2409</v>
      </c>
      <c r="D20" s="8" t="s">
        <v>77</v>
      </c>
      <c r="E20" s="8" t="s">
        <v>1423</v>
      </c>
      <c r="F20" s="8" t="s">
        <v>697</v>
      </c>
      <c r="G20" s="16" t="s">
        <v>84</v>
      </c>
      <c r="H20" s="8" t="s">
        <v>2410</v>
      </c>
      <c r="I20" s="8" t="s">
        <v>2411</v>
      </c>
      <c r="J20" s="17" t="s">
        <v>2356</v>
      </c>
      <c r="K20" s="53" t="n">
        <v>0</v>
      </c>
      <c r="L20" s="8" t="s">
        <v>2412</v>
      </c>
    </row>
    <row r="21" customFormat="false" ht="21.75" hidden="false" customHeight="true" outlineLevel="0" collapsed="false">
      <c r="A21" s="5" t="s">
        <v>2413</v>
      </c>
      <c r="B21" s="5" t="s">
        <v>2396</v>
      </c>
      <c r="C21" s="5" t="s">
        <v>2414</v>
      </c>
      <c r="D21" s="5" t="s">
        <v>77</v>
      </c>
      <c r="E21" s="5" t="s">
        <v>1423</v>
      </c>
      <c r="F21" s="5" t="s">
        <v>718</v>
      </c>
      <c r="G21" s="16" t="s">
        <v>84</v>
      </c>
      <c r="H21" s="5" t="s">
        <v>2415</v>
      </c>
      <c r="I21" s="5" t="s">
        <v>2416</v>
      </c>
      <c r="J21" s="15" t="s">
        <v>2356</v>
      </c>
      <c r="K21" s="52" t="n">
        <v>0</v>
      </c>
      <c r="L21" s="5"/>
    </row>
    <row r="22" customFormat="false" ht="15" hidden="false" customHeight="true" outlineLevel="0" collapsed="false">
      <c r="A22" s="51" t="s">
        <v>2417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customFormat="false" ht="15" hidden="false" customHeight="true" outlineLevel="0" collapsed="false">
      <c r="A23" s="5" t="s">
        <v>2418</v>
      </c>
      <c r="B23" s="5" t="s">
        <v>2419</v>
      </c>
      <c r="C23" s="5" t="s">
        <v>2420</v>
      </c>
      <c r="D23" s="5" t="s">
        <v>77</v>
      </c>
      <c r="E23" s="5" t="s">
        <v>1772</v>
      </c>
      <c r="F23" s="5" t="s">
        <v>697</v>
      </c>
      <c r="G23" s="16" t="s">
        <v>84</v>
      </c>
      <c r="H23" s="5" t="s">
        <v>2421</v>
      </c>
      <c r="I23" s="5" t="s">
        <v>2422</v>
      </c>
      <c r="J23" s="15" t="s">
        <v>2356</v>
      </c>
      <c r="K23" s="52" t="n">
        <v>0</v>
      </c>
      <c r="L23" s="5"/>
    </row>
    <row r="24" customFormat="false" ht="21.75" hidden="false" customHeight="true" outlineLevel="0" collapsed="false">
      <c r="A24" s="8" t="s">
        <v>2423</v>
      </c>
      <c r="B24" s="8" t="s">
        <v>2419</v>
      </c>
      <c r="C24" s="8" t="s">
        <v>2424</v>
      </c>
      <c r="D24" s="8" t="s">
        <v>77</v>
      </c>
      <c r="E24" s="8" t="s">
        <v>2425</v>
      </c>
      <c r="F24" s="8" t="s">
        <v>718</v>
      </c>
      <c r="G24" s="16" t="s">
        <v>84</v>
      </c>
      <c r="H24" s="8" t="s">
        <v>2426</v>
      </c>
      <c r="I24" s="8" t="s">
        <v>2427</v>
      </c>
      <c r="J24" s="17" t="s">
        <v>2356</v>
      </c>
      <c r="K24" s="53" t="n">
        <v>0</v>
      </c>
      <c r="L24" s="8"/>
    </row>
    <row r="25" customFormat="false" ht="21.75" hidden="false" customHeight="true" outlineLevel="0" collapsed="false">
      <c r="A25" s="5" t="s">
        <v>2428</v>
      </c>
      <c r="B25" s="5" t="s">
        <v>2419</v>
      </c>
      <c r="C25" s="5" t="s">
        <v>2429</v>
      </c>
      <c r="D25" s="5" t="s">
        <v>77</v>
      </c>
      <c r="E25" s="5" t="s">
        <v>2425</v>
      </c>
      <c r="F25" s="5" t="s">
        <v>718</v>
      </c>
      <c r="G25" s="16" t="s">
        <v>84</v>
      </c>
      <c r="H25" s="5" t="s">
        <v>2430</v>
      </c>
      <c r="I25" s="5" t="s">
        <v>2431</v>
      </c>
      <c r="J25" s="15" t="s">
        <v>2356</v>
      </c>
      <c r="K25" s="52" t="n">
        <v>0</v>
      </c>
      <c r="L25" s="5"/>
    </row>
    <row r="26" customFormat="false" ht="15" hidden="false" customHeight="true" outlineLevel="0" collapsed="false">
      <c r="A26" s="8" t="s">
        <v>2432</v>
      </c>
      <c r="B26" s="8" t="s">
        <v>2419</v>
      </c>
      <c r="C26" s="8" t="s">
        <v>2433</v>
      </c>
      <c r="D26" s="8" t="s">
        <v>77</v>
      </c>
      <c r="E26" s="8" t="s">
        <v>1860</v>
      </c>
      <c r="F26" s="8" t="s">
        <v>697</v>
      </c>
      <c r="G26" s="16" t="s">
        <v>84</v>
      </c>
      <c r="H26" s="8" t="s">
        <v>2434</v>
      </c>
      <c r="I26" s="8" t="s">
        <v>2435</v>
      </c>
      <c r="J26" s="17" t="s">
        <v>2356</v>
      </c>
      <c r="K26" s="53" t="n">
        <v>0</v>
      </c>
      <c r="L26" s="8"/>
    </row>
    <row r="27" customFormat="false" ht="21.75" hidden="false" customHeight="true" outlineLevel="0" collapsed="false">
      <c r="A27" s="5" t="s">
        <v>2436</v>
      </c>
      <c r="B27" s="5" t="s">
        <v>2419</v>
      </c>
      <c r="C27" s="5" t="s">
        <v>2437</v>
      </c>
      <c r="D27" s="5" t="s">
        <v>77</v>
      </c>
      <c r="E27" s="5" t="s">
        <v>2028</v>
      </c>
      <c r="F27" s="5" t="s">
        <v>718</v>
      </c>
      <c r="G27" s="16" t="s">
        <v>84</v>
      </c>
      <c r="H27" s="5" t="s">
        <v>2438</v>
      </c>
      <c r="I27" s="5" t="s">
        <v>2439</v>
      </c>
      <c r="J27" s="15" t="s">
        <v>2356</v>
      </c>
      <c r="K27" s="52" t="n">
        <v>0</v>
      </c>
      <c r="L27" s="5"/>
    </row>
  </sheetData>
  <mergeCells count="5">
    <mergeCell ref="A1:L1"/>
    <mergeCell ref="A4:L4"/>
    <mergeCell ref="A10:L10"/>
    <mergeCell ref="A16:L16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2026-03-12T09:50:14Z</dcterms:created>
  <dc:creator>openpyxl</dc:creator>
  <dc:description/>
  <dc:language>en-US</dc:language>
  <cp:lastModifiedBy/>
  <dcterms:modified xsi:type="dcterms:W3CDTF">2026-03-24T06:46:13Z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